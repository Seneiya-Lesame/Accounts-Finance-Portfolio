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3581e3633187d2/Documents/Seneiya's Projects/Excel/Projects Portfolio/Analysed Data/"/>
    </mc:Choice>
  </mc:AlternateContent>
  <xr:revisionPtr revIDLastSave="247" documentId="8_{56BD11F2-C9FA-4C5D-9441-5FC7D87CCE48}" xr6:coauthVersionLast="47" xr6:coauthVersionMax="47" xr10:uidLastSave="{75772A08-228E-4377-AD01-43194C2DE8BC}"/>
  <bookViews>
    <workbookView xWindow="-110" yWindow="-110" windowWidth="19420" windowHeight="10300" xr2:uid="{8BB7EE89-639F-441B-8CBF-CD06B4704777}"/>
  </bookViews>
  <sheets>
    <sheet name="DashBoard" sheetId="14" r:id="rId1"/>
    <sheet name="Accounts Receivable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3" i="1"/>
  <c r="I14" i="1"/>
  <c r="I15" i="1"/>
  <c r="I16" i="1"/>
  <c r="I17" i="1"/>
  <c r="I18" i="1"/>
  <c r="I20" i="1"/>
  <c r="I21" i="1"/>
  <c r="I22" i="1"/>
  <c r="I23" i="1"/>
  <c r="I24" i="1"/>
  <c r="I25" i="1"/>
  <c r="I26" i="1"/>
  <c r="I27" i="1"/>
  <c r="I28" i="1"/>
  <c r="I29" i="1"/>
  <c r="I30" i="1"/>
  <c r="I33" i="1"/>
  <c r="I34" i="1"/>
  <c r="I35" i="1"/>
  <c r="I36" i="1"/>
  <c r="I37" i="1"/>
  <c r="I38" i="1"/>
  <c r="I39" i="1"/>
  <c r="I40" i="1"/>
  <c r="I41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7" i="1"/>
  <c r="I58" i="1"/>
  <c r="I59" i="1"/>
  <c r="I60" i="1"/>
  <c r="I61" i="1"/>
  <c r="I62" i="1"/>
  <c r="I65" i="1"/>
  <c r="I67" i="1"/>
  <c r="I69" i="1"/>
  <c r="I70" i="1"/>
  <c r="I71" i="1"/>
  <c r="I72" i="1"/>
  <c r="I73" i="1"/>
  <c r="I74" i="1"/>
  <c r="I75" i="1"/>
  <c r="I77" i="1"/>
  <c r="I78" i="1"/>
  <c r="I79" i="1"/>
  <c r="I80" i="1"/>
  <c r="I81" i="1"/>
  <c r="I83" i="1"/>
  <c r="I84" i="1"/>
  <c r="I85" i="1"/>
  <c r="I86" i="1"/>
  <c r="I87" i="1"/>
  <c r="I88" i="1"/>
  <c r="I89" i="1"/>
  <c r="I92" i="1"/>
  <c r="I93" i="1"/>
  <c r="I94" i="1"/>
  <c r="I95" i="1"/>
  <c r="I96" i="1"/>
  <c r="I97" i="1"/>
  <c r="I98" i="1"/>
  <c r="I99" i="1"/>
  <c r="I100" i="1"/>
  <c r="I101" i="1"/>
  <c r="I102" i="1"/>
  <c r="I103" i="1"/>
  <c r="I105" i="1"/>
  <c r="I106" i="1"/>
  <c r="I107" i="1"/>
  <c r="I108" i="1"/>
  <c r="I109" i="1"/>
  <c r="I110" i="1"/>
  <c r="I111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7" i="1"/>
  <c r="I128" i="1"/>
  <c r="I129" i="1"/>
  <c r="I130" i="1"/>
  <c r="I131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9" i="1"/>
  <c r="I150" i="1"/>
  <c r="I151" i="1"/>
  <c r="I152" i="1"/>
  <c r="I153" i="1"/>
  <c r="I154" i="1"/>
  <c r="I155" i="1"/>
  <c r="I156" i="1"/>
  <c r="I157" i="1"/>
  <c r="I158" i="1"/>
  <c r="I159" i="1"/>
  <c r="I162" i="1"/>
  <c r="I163" i="1"/>
  <c r="I164" i="1"/>
  <c r="I165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81" i="1"/>
  <c r="I182" i="1"/>
  <c r="I183" i="1"/>
  <c r="I184" i="1"/>
  <c r="I187" i="1"/>
  <c r="I188" i="1"/>
  <c r="I189" i="1"/>
  <c r="I190" i="1"/>
  <c r="I191" i="1"/>
  <c r="I192" i="1"/>
  <c r="I198" i="1"/>
  <c r="I199" i="1"/>
  <c r="I200" i="1"/>
  <c r="I202" i="1"/>
  <c r="I204" i="1"/>
  <c r="I205" i="1"/>
  <c r="I207" i="1"/>
  <c r="I208" i="1"/>
  <c r="I209" i="1"/>
  <c r="I210" i="1"/>
  <c r="I211" i="1"/>
  <c r="I212" i="1"/>
  <c r="I216" i="1"/>
  <c r="I217" i="1"/>
  <c r="I218" i="1"/>
  <c r="I219" i="1"/>
  <c r="I222" i="1"/>
  <c r="I224" i="1"/>
  <c r="I225" i="1"/>
  <c r="I226" i="1"/>
  <c r="I228" i="1"/>
  <c r="I230" i="1"/>
  <c r="I232" i="1"/>
  <c r="I233" i="1"/>
  <c r="I234" i="1"/>
  <c r="I235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9" i="1"/>
  <c r="I280" i="1"/>
  <c r="I281" i="1"/>
  <c r="I282" i="1"/>
  <c r="I283" i="1"/>
  <c r="I285" i="1"/>
  <c r="I287" i="1"/>
  <c r="I288" i="1"/>
  <c r="I289" i="1"/>
  <c r="I290" i="1"/>
  <c r="I291" i="1"/>
  <c r="I292" i="1"/>
  <c r="I294" i="1"/>
  <c r="I297" i="1"/>
  <c r="I299" i="1"/>
  <c r="I300" i="1"/>
  <c r="I301" i="1"/>
  <c r="I303" i="1"/>
  <c r="I304" i="1"/>
  <c r="I305" i="1"/>
  <c r="I307" i="1"/>
  <c r="I309" i="1"/>
  <c r="I310" i="1"/>
  <c r="I311" i="1"/>
  <c r="I312" i="1"/>
  <c r="I313" i="1"/>
  <c r="I314" i="1"/>
  <c r="I315" i="1"/>
  <c r="I316" i="1"/>
  <c r="I318" i="1"/>
  <c r="I319" i="1"/>
  <c r="I320" i="1"/>
  <c r="I321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6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5" i="1"/>
  <c r="I356" i="1"/>
  <c r="I357" i="1"/>
  <c r="I358" i="1"/>
  <c r="I359" i="1"/>
  <c r="I360" i="1"/>
  <c r="I361" i="1"/>
  <c r="I362" i="1"/>
  <c r="I363" i="1"/>
  <c r="I365" i="1"/>
  <c r="I366" i="1"/>
  <c r="I367" i="1"/>
  <c r="I368" i="1"/>
  <c r="I369" i="1"/>
  <c r="I371" i="1"/>
  <c r="I372" i="1"/>
  <c r="I374" i="1"/>
  <c r="I376" i="1"/>
  <c r="I377" i="1"/>
  <c r="I378" i="1"/>
  <c r="I379" i="1"/>
  <c r="I381" i="1"/>
  <c r="I382" i="1"/>
  <c r="I383" i="1"/>
  <c r="I385" i="1"/>
  <c r="I387" i="1"/>
  <c r="I388" i="1"/>
  <c r="I389" i="1"/>
  <c r="I390" i="1"/>
  <c r="I391" i="1"/>
  <c r="I392" i="1"/>
  <c r="I395" i="1"/>
  <c r="I396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3" i="1"/>
  <c r="I415" i="1"/>
  <c r="I416" i="1"/>
  <c r="I417" i="1"/>
  <c r="I418" i="1"/>
  <c r="I419" i="1"/>
  <c r="I420" i="1"/>
  <c r="I421" i="1"/>
  <c r="I423" i="1"/>
  <c r="I424" i="1"/>
  <c r="I425" i="1"/>
  <c r="I426" i="1"/>
  <c r="I427" i="1"/>
  <c r="I428" i="1"/>
  <c r="I429" i="1"/>
  <c r="I431" i="1"/>
  <c r="I432" i="1"/>
  <c r="I433" i="1"/>
  <c r="I434" i="1"/>
  <c r="I435" i="1"/>
  <c r="I436" i="1"/>
  <c r="I438" i="1"/>
  <c r="I439" i="1"/>
  <c r="I440" i="1"/>
  <c r="I442" i="1"/>
  <c r="I443" i="1"/>
  <c r="I444" i="1"/>
  <c r="I445" i="1"/>
  <c r="I446" i="1"/>
  <c r="I447" i="1"/>
  <c r="I448" i="1"/>
  <c r="I450" i="1"/>
  <c r="I452" i="1"/>
  <c r="I453" i="1"/>
  <c r="I454" i="1"/>
  <c r="I455" i="1"/>
  <c r="I456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6" i="1"/>
  <c r="I487" i="1"/>
  <c r="I488" i="1"/>
  <c r="I489" i="1"/>
  <c r="I490" i="1"/>
  <c r="I491" i="1"/>
  <c r="I492" i="1"/>
  <c r="I494" i="1"/>
  <c r="I495" i="1"/>
  <c r="I496" i="1"/>
  <c r="I497" i="1"/>
  <c r="I499" i="1"/>
  <c r="I500" i="1"/>
  <c r="I501" i="1"/>
  <c r="B5" i="14"/>
  <c r="B3" i="14"/>
  <c r="B4" i="14" s="1"/>
  <c r="H3" i="1"/>
  <c r="H4" i="1"/>
  <c r="H5" i="1"/>
  <c r="H6" i="1"/>
  <c r="H7" i="1"/>
  <c r="H8" i="1"/>
  <c r="H9" i="1"/>
  <c r="H10" i="1"/>
  <c r="H11" i="1"/>
  <c r="H12" i="1"/>
  <c r="I12" i="1" s="1"/>
  <c r="H13" i="1"/>
  <c r="H14" i="1"/>
  <c r="H15" i="1"/>
  <c r="H16" i="1"/>
  <c r="H17" i="1"/>
  <c r="H18" i="1"/>
  <c r="H19" i="1"/>
  <c r="I19" i="1" s="1"/>
  <c r="H20" i="1"/>
  <c r="H21" i="1"/>
  <c r="H22" i="1"/>
  <c r="H23" i="1"/>
  <c r="H24" i="1"/>
  <c r="H25" i="1"/>
  <c r="H26" i="1"/>
  <c r="H27" i="1"/>
  <c r="H28" i="1"/>
  <c r="H29" i="1"/>
  <c r="H30" i="1"/>
  <c r="H31" i="1"/>
  <c r="I31" i="1" s="1"/>
  <c r="H32" i="1"/>
  <c r="I32" i="1" s="1"/>
  <c r="H33" i="1"/>
  <c r="H34" i="1"/>
  <c r="H35" i="1"/>
  <c r="H36" i="1"/>
  <c r="H37" i="1"/>
  <c r="H38" i="1"/>
  <c r="H39" i="1"/>
  <c r="H40" i="1"/>
  <c r="H41" i="1"/>
  <c r="H42" i="1"/>
  <c r="I42" i="1" s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I56" i="1" s="1"/>
  <c r="H57" i="1"/>
  <c r="H58" i="1"/>
  <c r="H59" i="1"/>
  <c r="H60" i="1"/>
  <c r="H61" i="1"/>
  <c r="H62" i="1"/>
  <c r="H63" i="1"/>
  <c r="I63" i="1" s="1"/>
  <c r="H64" i="1"/>
  <c r="I64" i="1" s="1"/>
  <c r="H65" i="1"/>
  <c r="H66" i="1"/>
  <c r="I66" i="1" s="1"/>
  <c r="H67" i="1"/>
  <c r="H68" i="1"/>
  <c r="I68" i="1" s="1"/>
  <c r="H69" i="1"/>
  <c r="H70" i="1"/>
  <c r="H71" i="1"/>
  <c r="H72" i="1"/>
  <c r="H73" i="1"/>
  <c r="H74" i="1"/>
  <c r="H75" i="1"/>
  <c r="H76" i="1"/>
  <c r="I76" i="1" s="1"/>
  <c r="H77" i="1"/>
  <c r="H78" i="1"/>
  <c r="H79" i="1"/>
  <c r="H80" i="1"/>
  <c r="H81" i="1"/>
  <c r="H82" i="1"/>
  <c r="I82" i="1" s="1"/>
  <c r="H83" i="1"/>
  <c r="H84" i="1"/>
  <c r="H85" i="1"/>
  <c r="H86" i="1"/>
  <c r="H87" i="1"/>
  <c r="H88" i="1"/>
  <c r="H89" i="1"/>
  <c r="H90" i="1"/>
  <c r="I90" i="1" s="1"/>
  <c r="H91" i="1"/>
  <c r="I91" i="1" s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I104" i="1" s="1"/>
  <c r="H105" i="1"/>
  <c r="H106" i="1"/>
  <c r="H107" i="1"/>
  <c r="H108" i="1"/>
  <c r="H109" i="1"/>
  <c r="H110" i="1"/>
  <c r="H111" i="1"/>
  <c r="H112" i="1"/>
  <c r="I112" i="1" s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I126" i="1" s="1"/>
  <c r="H127" i="1"/>
  <c r="H128" i="1"/>
  <c r="H129" i="1"/>
  <c r="H130" i="1"/>
  <c r="H131" i="1"/>
  <c r="H132" i="1"/>
  <c r="I132" i="1" s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I148" i="1" s="1"/>
  <c r="H149" i="1"/>
  <c r="H150" i="1"/>
  <c r="H151" i="1"/>
  <c r="H152" i="1"/>
  <c r="H153" i="1"/>
  <c r="H154" i="1"/>
  <c r="H155" i="1"/>
  <c r="H156" i="1"/>
  <c r="H157" i="1"/>
  <c r="H158" i="1"/>
  <c r="H159" i="1"/>
  <c r="H160" i="1"/>
  <c r="I160" i="1" s="1"/>
  <c r="H161" i="1"/>
  <c r="I161" i="1" s="1"/>
  <c r="H162" i="1"/>
  <c r="H163" i="1"/>
  <c r="H164" i="1"/>
  <c r="H165" i="1"/>
  <c r="H166" i="1"/>
  <c r="I166" i="1" s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I179" i="1" s="1"/>
  <c r="H180" i="1"/>
  <c r="I180" i="1" s="1"/>
  <c r="H181" i="1"/>
  <c r="H182" i="1"/>
  <c r="H183" i="1"/>
  <c r="H184" i="1"/>
  <c r="H185" i="1"/>
  <c r="I185" i="1" s="1"/>
  <c r="H186" i="1"/>
  <c r="I186" i="1" s="1"/>
  <c r="H187" i="1"/>
  <c r="H188" i="1"/>
  <c r="H189" i="1"/>
  <c r="H190" i="1"/>
  <c r="H191" i="1"/>
  <c r="H192" i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H199" i="1"/>
  <c r="H200" i="1"/>
  <c r="H201" i="1"/>
  <c r="I201" i="1" s="1"/>
  <c r="H202" i="1"/>
  <c r="H203" i="1"/>
  <c r="I203" i="1" s="1"/>
  <c r="H204" i="1"/>
  <c r="H205" i="1"/>
  <c r="H206" i="1"/>
  <c r="I206" i="1" s="1"/>
  <c r="H207" i="1"/>
  <c r="H208" i="1"/>
  <c r="H209" i="1"/>
  <c r="H210" i="1"/>
  <c r="H211" i="1"/>
  <c r="H212" i="1"/>
  <c r="H213" i="1"/>
  <c r="I213" i="1" s="1"/>
  <c r="H214" i="1"/>
  <c r="I214" i="1" s="1"/>
  <c r="H215" i="1"/>
  <c r="I215" i="1" s="1"/>
  <c r="H216" i="1"/>
  <c r="H217" i="1"/>
  <c r="H218" i="1"/>
  <c r="H219" i="1"/>
  <c r="H220" i="1"/>
  <c r="I220" i="1" s="1"/>
  <c r="H221" i="1"/>
  <c r="I221" i="1" s="1"/>
  <c r="H222" i="1"/>
  <c r="H223" i="1"/>
  <c r="I223" i="1" s="1"/>
  <c r="H224" i="1"/>
  <c r="H225" i="1"/>
  <c r="H226" i="1"/>
  <c r="H227" i="1"/>
  <c r="I227" i="1" s="1"/>
  <c r="H228" i="1"/>
  <c r="H229" i="1"/>
  <c r="I229" i="1" s="1"/>
  <c r="H230" i="1"/>
  <c r="H231" i="1"/>
  <c r="I231" i="1" s="1"/>
  <c r="H232" i="1"/>
  <c r="H233" i="1"/>
  <c r="H234" i="1"/>
  <c r="H235" i="1"/>
  <c r="H236" i="1"/>
  <c r="I236" i="1" s="1"/>
  <c r="H237" i="1"/>
  <c r="I237" i="1" s="1"/>
  <c r="H238" i="1"/>
  <c r="I238" i="1" s="1"/>
  <c r="H239" i="1"/>
  <c r="I239" i="1" s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I257" i="1" s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I278" i="1" s="1"/>
  <c r="H279" i="1"/>
  <c r="H280" i="1"/>
  <c r="H281" i="1"/>
  <c r="H282" i="1"/>
  <c r="H283" i="1"/>
  <c r="H284" i="1"/>
  <c r="I284" i="1" s="1"/>
  <c r="H285" i="1"/>
  <c r="H286" i="1"/>
  <c r="I286" i="1" s="1"/>
  <c r="H287" i="1"/>
  <c r="H288" i="1"/>
  <c r="H289" i="1"/>
  <c r="H290" i="1"/>
  <c r="H291" i="1"/>
  <c r="H292" i="1"/>
  <c r="H293" i="1"/>
  <c r="I293" i="1" s="1"/>
  <c r="H294" i="1"/>
  <c r="H295" i="1"/>
  <c r="I295" i="1" s="1"/>
  <c r="H296" i="1"/>
  <c r="I296" i="1" s="1"/>
  <c r="H297" i="1"/>
  <c r="H298" i="1"/>
  <c r="I298" i="1" s="1"/>
  <c r="H299" i="1"/>
  <c r="H300" i="1"/>
  <c r="H301" i="1"/>
  <c r="H302" i="1"/>
  <c r="I302" i="1" s="1"/>
  <c r="H303" i="1"/>
  <c r="H304" i="1"/>
  <c r="H305" i="1"/>
  <c r="H306" i="1"/>
  <c r="I306" i="1" s="1"/>
  <c r="H307" i="1"/>
  <c r="H308" i="1"/>
  <c r="I308" i="1" s="1"/>
  <c r="H309" i="1"/>
  <c r="H310" i="1"/>
  <c r="H311" i="1"/>
  <c r="H312" i="1"/>
  <c r="H313" i="1"/>
  <c r="H314" i="1"/>
  <c r="H315" i="1"/>
  <c r="H316" i="1"/>
  <c r="H317" i="1"/>
  <c r="I317" i="1" s="1"/>
  <c r="H318" i="1"/>
  <c r="H319" i="1"/>
  <c r="H320" i="1"/>
  <c r="H321" i="1"/>
  <c r="H322" i="1"/>
  <c r="I322" i="1" s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I335" i="1" s="1"/>
  <c r="H336" i="1"/>
  <c r="H337" i="1"/>
  <c r="I337" i="1" s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I354" i="1" s="1"/>
  <c r="H355" i="1"/>
  <c r="H356" i="1"/>
  <c r="H357" i="1"/>
  <c r="H358" i="1"/>
  <c r="H359" i="1"/>
  <c r="H360" i="1"/>
  <c r="H361" i="1"/>
  <c r="H362" i="1"/>
  <c r="H363" i="1"/>
  <c r="H364" i="1"/>
  <c r="I364" i="1" s="1"/>
  <c r="H365" i="1"/>
  <c r="H366" i="1"/>
  <c r="H367" i="1"/>
  <c r="H368" i="1"/>
  <c r="H369" i="1"/>
  <c r="H370" i="1"/>
  <c r="I370" i="1" s="1"/>
  <c r="H371" i="1"/>
  <c r="H372" i="1"/>
  <c r="H373" i="1"/>
  <c r="I373" i="1" s="1"/>
  <c r="H374" i="1"/>
  <c r="H375" i="1"/>
  <c r="I375" i="1" s="1"/>
  <c r="H376" i="1"/>
  <c r="H377" i="1"/>
  <c r="H378" i="1"/>
  <c r="H379" i="1"/>
  <c r="H380" i="1"/>
  <c r="I380" i="1" s="1"/>
  <c r="H381" i="1"/>
  <c r="H382" i="1"/>
  <c r="H383" i="1"/>
  <c r="H384" i="1"/>
  <c r="I384" i="1" s="1"/>
  <c r="H385" i="1"/>
  <c r="H386" i="1"/>
  <c r="I386" i="1" s="1"/>
  <c r="H387" i="1"/>
  <c r="H388" i="1"/>
  <c r="H389" i="1"/>
  <c r="H390" i="1"/>
  <c r="H391" i="1"/>
  <c r="H392" i="1"/>
  <c r="H393" i="1"/>
  <c r="I393" i="1" s="1"/>
  <c r="H394" i="1"/>
  <c r="I394" i="1" s="1"/>
  <c r="H395" i="1"/>
  <c r="H396" i="1"/>
  <c r="H397" i="1"/>
  <c r="I397" i="1" s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I412" i="1" s="1"/>
  <c r="H413" i="1"/>
  <c r="H414" i="1"/>
  <c r="I414" i="1" s="1"/>
  <c r="H415" i="1"/>
  <c r="H416" i="1"/>
  <c r="H417" i="1"/>
  <c r="H418" i="1"/>
  <c r="H419" i="1"/>
  <c r="H420" i="1"/>
  <c r="H421" i="1"/>
  <c r="H422" i="1"/>
  <c r="I422" i="1" s="1"/>
  <c r="H423" i="1"/>
  <c r="H424" i="1"/>
  <c r="H425" i="1"/>
  <c r="H426" i="1"/>
  <c r="H427" i="1"/>
  <c r="H428" i="1"/>
  <c r="H429" i="1"/>
  <c r="H430" i="1"/>
  <c r="I430" i="1" s="1"/>
  <c r="H431" i="1"/>
  <c r="H432" i="1"/>
  <c r="H433" i="1"/>
  <c r="H434" i="1"/>
  <c r="H435" i="1"/>
  <c r="H436" i="1"/>
  <c r="H437" i="1"/>
  <c r="I437" i="1" s="1"/>
  <c r="H438" i="1"/>
  <c r="H439" i="1"/>
  <c r="H440" i="1"/>
  <c r="H441" i="1"/>
  <c r="I441" i="1" s="1"/>
  <c r="H442" i="1"/>
  <c r="H443" i="1"/>
  <c r="H444" i="1"/>
  <c r="H445" i="1"/>
  <c r="H446" i="1"/>
  <c r="H447" i="1"/>
  <c r="H448" i="1"/>
  <c r="H449" i="1"/>
  <c r="I449" i="1" s="1"/>
  <c r="H450" i="1"/>
  <c r="H451" i="1"/>
  <c r="I451" i="1" s="1"/>
  <c r="H452" i="1"/>
  <c r="H453" i="1"/>
  <c r="H454" i="1"/>
  <c r="H455" i="1"/>
  <c r="H456" i="1"/>
  <c r="H457" i="1"/>
  <c r="I457" i="1" s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I485" i="1" s="1"/>
  <c r="H486" i="1"/>
  <c r="H487" i="1"/>
  <c r="H488" i="1"/>
  <c r="H489" i="1"/>
  <c r="H490" i="1"/>
  <c r="H491" i="1"/>
  <c r="H492" i="1"/>
  <c r="H493" i="1"/>
  <c r="I493" i="1" s="1"/>
  <c r="H494" i="1"/>
  <c r="H495" i="1"/>
  <c r="H496" i="1"/>
  <c r="H497" i="1"/>
  <c r="H498" i="1"/>
  <c r="I498" i="1" s="1"/>
  <c r="H499" i="1"/>
  <c r="H500" i="1"/>
  <c r="H5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2" i="1"/>
  <c r="B12" i="14" l="1"/>
  <c r="C12" i="14"/>
  <c r="C11" i="14"/>
  <c r="B9" i="14"/>
  <c r="C10" i="14"/>
  <c r="C9" i="14"/>
  <c r="B10" i="14"/>
  <c r="B11" i="14"/>
</calcChain>
</file>

<file path=xl/sharedStrings.xml><?xml version="1.0" encoding="utf-8"?>
<sst xmlns="http://schemas.openxmlformats.org/spreadsheetml/2006/main" count="1529" uniqueCount="528">
  <si>
    <t>Status</t>
  </si>
  <si>
    <t>AR-INV-7001</t>
  </si>
  <si>
    <t>CUS-05</t>
  </si>
  <si>
    <t>Paid</t>
  </si>
  <si>
    <t>AR-INV-7002</t>
  </si>
  <si>
    <t>CUS-01</t>
  </si>
  <si>
    <t>AR-INV-7003</t>
  </si>
  <si>
    <t>CUS-04</t>
  </si>
  <si>
    <t>AR-INV-7004</t>
  </si>
  <si>
    <t>CUS-02</t>
  </si>
  <si>
    <t>AR-INV-7005</t>
  </si>
  <si>
    <t>CUS-03</t>
  </si>
  <si>
    <t>AR-INV-7006</t>
  </si>
  <si>
    <t>AR-INV-7007</t>
  </si>
  <si>
    <t>AR-INV-7008</t>
  </si>
  <si>
    <t>AR-INV-7009</t>
  </si>
  <si>
    <t>AR-INV-7010</t>
  </si>
  <si>
    <t>AR-INV-7011</t>
  </si>
  <si>
    <t>Unpaid</t>
  </si>
  <si>
    <t>AR-INV-7012</t>
  </si>
  <si>
    <t>AR-INV-7013</t>
  </si>
  <si>
    <t>AR-INV-7014</t>
  </si>
  <si>
    <t>AR-INV-7015</t>
  </si>
  <si>
    <t>AR-INV-7016</t>
  </si>
  <si>
    <t>AR-INV-7017</t>
  </si>
  <si>
    <t>AR-INV-7018</t>
  </si>
  <si>
    <t>AR-INV-7019</t>
  </si>
  <si>
    <t>AR-INV-7020</t>
  </si>
  <si>
    <t>AR-INV-7021</t>
  </si>
  <si>
    <t>AR-INV-7022</t>
  </si>
  <si>
    <t>AR-INV-7023</t>
  </si>
  <si>
    <t>AR-INV-7024</t>
  </si>
  <si>
    <t>AR-INV-7025</t>
  </si>
  <si>
    <t>AR-INV-7026</t>
  </si>
  <si>
    <t>AR-INV-7027</t>
  </si>
  <si>
    <t>AR-INV-7028</t>
  </si>
  <si>
    <t>AR-INV-7029</t>
  </si>
  <si>
    <t>AR-INV-7030</t>
  </si>
  <si>
    <t>AR-INV-7031</t>
  </si>
  <si>
    <t>AR-INV-7032</t>
  </si>
  <si>
    <t>AR-INV-7033</t>
  </si>
  <si>
    <t>AR-INV-7034</t>
  </si>
  <si>
    <t>AR-INV-7035</t>
  </si>
  <si>
    <t>AR-INV-7036</t>
  </si>
  <si>
    <t>AR-INV-7037</t>
  </si>
  <si>
    <t>AR-INV-7038</t>
  </si>
  <si>
    <t>AR-INV-7039</t>
  </si>
  <si>
    <t>AR-INV-7040</t>
  </si>
  <si>
    <t>AR-INV-7041</t>
  </si>
  <si>
    <t>AR-INV-7042</t>
  </si>
  <si>
    <t>AR-INV-7043</t>
  </si>
  <si>
    <t>AR-INV-7044</t>
  </si>
  <si>
    <t>AR-INV-7045</t>
  </si>
  <si>
    <t>AR-INV-7046</t>
  </si>
  <si>
    <t>AR-INV-7047</t>
  </si>
  <si>
    <t>AR-INV-7048</t>
  </si>
  <si>
    <t>AR-INV-7049</t>
  </si>
  <si>
    <t>AR-INV-7050</t>
  </si>
  <si>
    <t>AR-INV-7051</t>
  </si>
  <si>
    <t>AR-INV-7052</t>
  </si>
  <si>
    <t>AR-INV-7053</t>
  </si>
  <si>
    <t>AR-INV-7054</t>
  </si>
  <si>
    <t>AR-INV-7055</t>
  </si>
  <si>
    <t>AR-INV-7056</t>
  </si>
  <si>
    <t>AR-INV-7057</t>
  </si>
  <si>
    <t>AR-INV-7058</t>
  </si>
  <si>
    <t>AR-INV-7059</t>
  </si>
  <si>
    <t>AR-INV-7060</t>
  </si>
  <si>
    <t>AR-INV-7061</t>
  </si>
  <si>
    <t>AR-INV-7062</t>
  </si>
  <si>
    <t>AR-INV-7063</t>
  </si>
  <si>
    <t>AR-INV-7064</t>
  </si>
  <si>
    <t>AR-INV-7065</t>
  </si>
  <si>
    <t>AR-INV-7066</t>
  </si>
  <si>
    <t>AR-INV-7067</t>
  </si>
  <si>
    <t>AR-INV-7068</t>
  </si>
  <si>
    <t>AR-INV-7069</t>
  </si>
  <si>
    <t>AR-INV-7070</t>
  </si>
  <si>
    <t>AR-INV-7071</t>
  </si>
  <si>
    <t>AR-INV-7072</t>
  </si>
  <si>
    <t>AR-INV-7073</t>
  </si>
  <si>
    <t>AR-INV-7074</t>
  </si>
  <si>
    <t>AR-INV-7075</t>
  </si>
  <si>
    <t>AR-INV-7076</t>
  </si>
  <si>
    <t>AR-INV-7077</t>
  </si>
  <si>
    <t>AR-INV-7078</t>
  </si>
  <si>
    <t>AR-INV-7079</t>
  </si>
  <si>
    <t>AR-INV-7080</t>
  </si>
  <si>
    <t>AR-INV-7081</t>
  </si>
  <si>
    <t>AR-INV-7082</t>
  </si>
  <si>
    <t>AR-INV-7083</t>
  </si>
  <si>
    <t>AR-INV-7084</t>
  </si>
  <si>
    <t>AR-INV-7085</t>
  </si>
  <si>
    <t>AR-INV-7086</t>
  </si>
  <si>
    <t>AR-INV-7087</t>
  </si>
  <si>
    <t>AR-INV-7088</t>
  </si>
  <si>
    <t>AR-INV-7089</t>
  </si>
  <si>
    <t>AR-INV-7090</t>
  </si>
  <si>
    <t>AR-INV-7091</t>
  </si>
  <si>
    <t>AR-INV-7092</t>
  </si>
  <si>
    <t>AR-INV-7093</t>
  </si>
  <si>
    <t>AR-INV-7094</t>
  </si>
  <si>
    <t>AR-INV-7095</t>
  </si>
  <si>
    <t>AR-INV-7096</t>
  </si>
  <si>
    <t>AR-INV-7097</t>
  </si>
  <si>
    <t>AR-INV-7098</t>
  </si>
  <si>
    <t>AR-INV-7099</t>
  </si>
  <si>
    <t>AR-INV-7100</t>
  </si>
  <si>
    <t>AR-INV-7101</t>
  </si>
  <si>
    <t>AR-INV-7102</t>
  </si>
  <si>
    <t>AR-INV-7103</t>
  </si>
  <si>
    <t>AR-INV-7104</t>
  </si>
  <si>
    <t>AR-INV-7105</t>
  </si>
  <si>
    <t>AR-INV-7106</t>
  </si>
  <si>
    <t>AR-INV-7107</t>
  </si>
  <si>
    <t>AR-INV-7108</t>
  </si>
  <si>
    <t>AR-INV-7109</t>
  </si>
  <si>
    <t>AR-INV-7110</t>
  </si>
  <si>
    <t>AR-INV-7111</t>
  </si>
  <si>
    <t>AR-INV-7112</t>
  </si>
  <si>
    <t>AR-INV-7113</t>
  </si>
  <si>
    <t>AR-INV-7114</t>
  </si>
  <si>
    <t>AR-INV-7115</t>
  </si>
  <si>
    <t>AR-INV-7116</t>
  </si>
  <si>
    <t>AR-INV-7117</t>
  </si>
  <si>
    <t>AR-INV-7118</t>
  </si>
  <si>
    <t>AR-INV-7119</t>
  </si>
  <si>
    <t>AR-INV-7120</t>
  </si>
  <si>
    <t>AR-INV-7121</t>
  </si>
  <si>
    <t>AR-INV-7122</t>
  </si>
  <si>
    <t>AR-INV-7123</t>
  </si>
  <si>
    <t>AR-INV-7124</t>
  </si>
  <si>
    <t>AR-INV-7125</t>
  </si>
  <si>
    <t>AR-INV-7126</t>
  </si>
  <si>
    <t>AR-INV-7127</t>
  </si>
  <si>
    <t>AR-INV-7128</t>
  </si>
  <si>
    <t>AR-INV-7129</t>
  </si>
  <si>
    <t>AR-INV-7130</t>
  </si>
  <si>
    <t>AR-INV-7131</t>
  </si>
  <si>
    <t>AR-INV-7132</t>
  </si>
  <si>
    <t>AR-INV-7133</t>
  </si>
  <si>
    <t>AR-INV-7134</t>
  </si>
  <si>
    <t>AR-INV-7135</t>
  </si>
  <si>
    <t>AR-INV-7136</t>
  </si>
  <si>
    <t>AR-INV-7137</t>
  </si>
  <si>
    <t>AR-INV-7138</t>
  </si>
  <si>
    <t>AR-INV-7139</t>
  </si>
  <si>
    <t>AR-INV-7140</t>
  </si>
  <si>
    <t>AR-INV-7141</t>
  </si>
  <si>
    <t>AR-INV-7142</t>
  </si>
  <si>
    <t>AR-INV-7143</t>
  </si>
  <si>
    <t>AR-INV-7144</t>
  </si>
  <si>
    <t>AR-INV-7145</t>
  </si>
  <si>
    <t>AR-INV-7146</t>
  </si>
  <si>
    <t>AR-INV-7147</t>
  </si>
  <si>
    <t>AR-INV-7148</t>
  </si>
  <si>
    <t>AR-INV-7149</t>
  </si>
  <si>
    <t>AR-INV-7150</t>
  </si>
  <si>
    <t>AR-INV-7151</t>
  </si>
  <si>
    <t>AR-INV-7152</t>
  </si>
  <si>
    <t>AR-INV-7153</t>
  </si>
  <si>
    <t>AR-INV-7154</t>
  </si>
  <si>
    <t>AR-INV-7155</t>
  </si>
  <si>
    <t>AR-INV-7156</t>
  </si>
  <si>
    <t>AR-INV-7157</t>
  </si>
  <si>
    <t>AR-INV-7158</t>
  </si>
  <si>
    <t>AR-INV-7159</t>
  </si>
  <si>
    <t>AR-INV-7160</t>
  </si>
  <si>
    <t>AR-INV-7161</t>
  </si>
  <si>
    <t>AR-INV-7162</t>
  </si>
  <si>
    <t>AR-INV-7163</t>
  </si>
  <si>
    <t>AR-INV-7164</t>
  </si>
  <si>
    <t>AR-INV-7165</t>
  </si>
  <si>
    <t>AR-INV-7166</t>
  </si>
  <si>
    <t>AR-INV-7167</t>
  </si>
  <si>
    <t>AR-INV-7168</t>
  </si>
  <si>
    <t>AR-INV-7169</t>
  </si>
  <si>
    <t>AR-INV-7170</t>
  </si>
  <si>
    <t>AR-INV-7171</t>
  </si>
  <si>
    <t>AR-INV-7172</t>
  </si>
  <si>
    <t>AR-INV-7173</t>
  </si>
  <si>
    <t>AR-INV-7174</t>
  </si>
  <si>
    <t>AR-INV-7175</t>
  </si>
  <si>
    <t>AR-INV-7176</t>
  </si>
  <si>
    <t>AR-INV-7177</t>
  </si>
  <si>
    <t>AR-INV-7178</t>
  </si>
  <si>
    <t>AR-INV-7179</t>
  </si>
  <si>
    <t>AR-INV-7180</t>
  </si>
  <si>
    <t>AR-INV-7181</t>
  </si>
  <si>
    <t>AR-INV-7182</t>
  </si>
  <si>
    <t>AR-INV-7183</t>
  </si>
  <si>
    <t>AR-INV-7184</t>
  </si>
  <si>
    <t>AR-INV-7185</t>
  </si>
  <si>
    <t>AR-INV-7186</t>
  </si>
  <si>
    <t>AR-INV-7187</t>
  </si>
  <si>
    <t>AR-INV-7188</t>
  </si>
  <si>
    <t>AR-INV-7189</t>
  </si>
  <si>
    <t>AR-INV-7190</t>
  </si>
  <si>
    <t>AR-INV-7191</t>
  </si>
  <si>
    <t>AR-INV-7192</t>
  </si>
  <si>
    <t>AR-INV-7193</t>
  </si>
  <si>
    <t>AR-INV-7194</t>
  </si>
  <si>
    <t>AR-INV-7195</t>
  </si>
  <si>
    <t>AR-INV-7196</t>
  </si>
  <si>
    <t>AR-INV-7197</t>
  </si>
  <si>
    <t>AR-INV-7198</t>
  </si>
  <si>
    <t>AR-INV-7199</t>
  </si>
  <si>
    <t>AR-INV-7200</t>
  </si>
  <si>
    <t>AR-INV-7201</t>
  </si>
  <si>
    <t>AR-INV-7202</t>
  </si>
  <si>
    <t>AR-INV-7203</t>
  </si>
  <si>
    <t>AR-INV-7204</t>
  </si>
  <si>
    <t>AR-INV-7205</t>
  </si>
  <si>
    <t>AR-INV-7206</t>
  </si>
  <si>
    <t>AR-INV-7207</t>
  </si>
  <si>
    <t>AR-INV-7208</t>
  </si>
  <si>
    <t>AR-INV-7209</t>
  </si>
  <si>
    <t>AR-INV-7210</t>
  </si>
  <si>
    <t>AR-INV-7211</t>
  </si>
  <si>
    <t>AR-INV-7212</t>
  </si>
  <si>
    <t>AR-INV-7213</t>
  </si>
  <si>
    <t>AR-INV-7214</t>
  </si>
  <si>
    <t>AR-INV-7215</t>
  </si>
  <si>
    <t>AR-INV-7216</t>
  </si>
  <si>
    <t>AR-INV-7217</t>
  </si>
  <si>
    <t>AR-INV-7218</t>
  </si>
  <si>
    <t>AR-INV-7219</t>
  </si>
  <si>
    <t>AR-INV-7220</t>
  </si>
  <si>
    <t>AR-INV-7221</t>
  </si>
  <si>
    <t>AR-INV-7222</t>
  </si>
  <si>
    <t>AR-INV-7223</t>
  </si>
  <si>
    <t>AR-INV-7224</t>
  </si>
  <si>
    <t>AR-INV-7225</t>
  </si>
  <si>
    <t>AR-INV-7226</t>
  </si>
  <si>
    <t>AR-INV-7227</t>
  </si>
  <si>
    <t>AR-INV-7228</t>
  </si>
  <si>
    <t>AR-INV-7229</t>
  </si>
  <si>
    <t>AR-INV-7230</t>
  </si>
  <si>
    <t>AR-INV-7231</t>
  </si>
  <si>
    <t>AR-INV-7232</t>
  </si>
  <si>
    <t>AR-INV-7233</t>
  </si>
  <si>
    <t>AR-INV-7234</t>
  </si>
  <si>
    <t>AR-INV-7235</t>
  </si>
  <si>
    <t>AR-INV-7236</t>
  </si>
  <si>
    <t>AR-INV-7237</t>
  </si>
  <si>
    <t>AR-INV-7238</t>
  </si>
  <si>
    <t>AR-INV-7239</t>
  </si>
  <si>
    <t>AR-INV-7240</t>
  </si>
  <si>
    <t>AR-INV-7241</t>
  </si>
  <si>
    <t>AR-INV-7242</t>
  </si>
  <si>
    <t>AR-INV-7243</t>
  </si>
  <si>
    <t>AR-INV-7244</t>
  </si>
  <si>
    <t>AR-INV-7245</t>
  </si>
  <si>
    <t>AR-INV-7246</t>
  </si>
  <si>
    <t>AR-INV-7247</t>
  </si>
  <si>
    <t>AR-INV-7248</t>
  </si>
  <si>
    <t>AR-INV-7249</t>
  </si>
  <si>
    <t>AR-INV-7250</t>
  </si>
  <si>
    <t>AR-INV-7251</t>
  </si>
  <si>
    <t>AR-INV-7252</t>
  </si>
  <si>
    <t>AR-INV-7253</t>
  </si>
  <si>
    <t>AR-INV-7254</t>
  </si>
  <si>
    <t>AR-INV-7255</t>
  </si>
  <si>
    <t>AR-INV-7256</t>
  </si>
  <si>
    <t>AR-INV-7257</t>
  </si>
  <si>
    <t>AR-INV-7258</t>
  </si>
  <si>
    <t>AR-INV-7259</t>
  </si>
  <si>
    <t>AR-INV-7260</t>
  </si>
  <si>
    <t>AR-INV-7261</t>
  </si>
  <si>
    <t>AR-INV-7262</t>
  </si>
  <si>
    <t>AR-INV-7263</t>
  </si>
  <si>
    <t>AR-INV-7264</t>
  </si>
  <si>
    <t>AR-INV-7265</t>
  </si>
  <si>
    <t>AR-INV-7266</t>
  </si>
  <si>
    <t>AR-INV-7267</t>
  </si>
  <si>
    <t>AR-INV-7268</t>
  </si>
  <si>
    <t>AR-INV-7269</t>
  </si>
  <si>
    <t>AR-INV-7270</t>
  </si>
  <si>
    <t>AR-INV-7271</t>
  </si>
  <si>
    <t>AR-INV-7272</t>
  </si>
  <si>
    <t>AR-INV-7273</t>
  </si>
  <si>
    <t>AR-INV-7274</t>
  </si>
  <si>
    <t>AR-INV-7275</t>
  </si>
  <si>
    <t>AR-INV-7276</t>
  </si>
  <si>
    <t>AR-INV-7277</t>
  </si>
  <si>
    <t>AR-INV-7278</t>
  </si>
  <si>
    <t>AR-INV-7279</t>
  </si>
  <si>
    <t>AR-INV-7280</t>
  </si>
  <si>
    <t>AR-INV-7281</t>
  </si>
  <si>
    <t>AR-INV-7282</t>
  </si>
  <si>
    <t>AR-INV-7283</t>
  </si>
  <si>
    <t>AR-INV-7284</t>
  </si>
  <si>
    <t>AR-INV-7285</t>
  </si>
  <si>
    <t>AR-INV-7286</t>
  </si>
  <si>
    <t>AR-INV-7287</t>
  </si>
  <si>
    <t>AR-INV-7288</t>
  </si>
  <si>
    <t>AR-INV-7289</t>
  </si>
  <si>
    <t>AR-INV-7290</t>
  </si>
  <si>
    <t>AR-INV-7291</t>
  </si>
  <si>
    <t>AR-INV-7292</t>
  </si>
  <si>
    <t>AR-INV-7293</t>
  </si>
  <si>
    <t>AR-INV-7294</t>
  </si>
  <si>
    <t>AR-INV-7295</t>
  </si>
  <si>
    <t>AR-INV-7296</t>
  </si>
  <si>
    <t>AR-INV-7297</t>
  </si>
  <si>
    <t>AR-INV-7298</t>
  </si>
  <si>
    <t>AR-INV-7299</t>
  </si>
  <si>
    <t>AR-INV-7300</t>
  </si>
  <si>
    <t>AR-INV-7301</t>
  </si>
  <si>
    <t>AR-INV-7302</t>
  </si>
  <si>
    <t>AR-INV-7303</t>
  </si>
  <si>
    <t>AR-INV-7304</t>
  </si>
  <si>
    <t>AR-INV-7305</t>
  </si>
  <si>
    <t>AR-INV-7306</t>
  </si>
  <si>
    <t>AR-INV-7307</t>
  </si>
  <si>
    <t>AR-INV-7308</t>
  </si>
  <si>
    <t>AR-INV-7309</t>
  </si>
  <si>
    <t>AR-INV-7310</t>
  </si>
  <si>
    <t>AR-INV-7311</t>
  </si>
  <si>
    <t>AR-INV-7312</t>
  </si>
  <si>
    <t>AR-INV-7313</t>
  </si>
  <si>
    <t>AR-INV-7314</t>
  </si>
  <si>
    <t>AR-INV-7315</t>
  </si>
  <si>
    <t>AR-INV-7316</t>
  </si>
  <si>
    <t>AR-INV-7317</t>
  </si>
  <si>
    <t>AR-INV-7318</t>
  </si>
  <si>
    <t>AR-INV-7319</t>
  </si>
  <si>
    <t>AR-INV-7320</t>
  </si>
  <si>
    <t>AR-INV-7321</t>
  </si>
  <si>
    <t>AR-INV-7322</t>
  </si>
  <si>
    <t>AR-INV-7323</t>
  </si>
  <si>
    <t>AR-INV-7324</t>
  </si>
  <si>
    <t>AR-INV-7325</t>
  </si>
  <si>
    <t>AR-INV-7326</t>
  </si>
  <si>
    <t>AR-INV-7327</t>
  </si>
  <si>
    <t>AR-INV-7328</t>
  </si>
  <si>
    <t>AR-INV-7329</t>
  </si>
  <si>
    <t>AR-INV-7330</t>
  </si>
  <si>
    <t>AR-INV-7331</t>
  </si>
  <si>
    <t>AR-INV-7332</t>
  </si>
  <si>
    <t>AR-INV-7333</t>
  </si>
  <si>
    <t>AR-INV-7334</t>
  </si>
  <si>
    <t>AR-INV-7335</t>
  </si>
  <si>
    <t>AR-INV-7336</t>
  </si>
  <si>
    <t>AR-INV-7337</t>
  </si>
  <si>
    <t>AR-INV-7338</t>
  </si>
  <si>
    <t>AR-INV-7339</t>
  </si>
  <si>
    <t>AR-INV-7340</t>
  </si>
  <si>
    <t>AR-INV-7341</t>
  </si>
  <si>
    <t>AR-INV-7342</t>
  </si>
  <si>
    <t>AR-INV-7343</t>
  </si>
  <si>
    <t>AR-INV-7344</t>
  </si>
  <si>
    <t>AR-INV-7345</t>
  </si>
  <si>
    <t>AR-INV-7346</t>
  </si>
  <si>
    <t>AR-INV-7347</t>
  </si>
  <si>
    <t>AR-INV-7348</t>
  </si>
  <si>
    <t>AR-INV-7349</t>
  </si>
  <si>
    <t>AR-INV-7350</t>
  </si>
  <si>
    <t>AR-INV-7351</t>
  </si>
  <si>
    <t>AR-INV-7352</t>
  </si>
  <si>
    <t>AR-INV-7353</t>
  </si>
  <si>
    <t>AR-INV-7354</t>
  </si>
  <si>
    <t>AR-INV-7355</t>
  </si>
  <si>
    <t>AR-INV-7356</t>
  </si>
  <si>
    <t>AR-INV-7357</t>
  </si>
  <si>
    <t>AR-INV-7358</t>
  </si>
  <si>
    <t>AR-INV-7359</t>
  </si>
  <si>
    <t>AR-INV-7360</t>
  </si>
  <si>
    <t>AR-INV-7361</t>
  </si>
  <si>
    <t>AR-INV-7362</t>
  </si>
  <si>
    <t>AR-INV-7363</t>
  </si>
  <si>
    <t>AR-INV-7364</t>
  </si>
  <si>
    <t>AR-INV-7365</t>
  </si>
  <si>
    <t>AR-INV-7366</t>
  </si>
  <si>
    <t>AR-INV-7367</t>
  </si>
  <si>
    <t>AR-INV-7368</t>
  </si>
  <si>
    <t>AR-INV-7369</t>
  </si>
  <si>
    <t>AR-INV-7370</t>
  </si>
  <si>
    <t>AR-INV-7371</t>
  </si>
  <si>
    <t>AR-INV-7372</t>
  </si>
  <si>
    <t>AR-INV-7373</t>
  </si>
  <si>
    <t>AR-INV-7374</t>
  </si>
  <si>
    <t>AR-INV-7375</t>
  </si>
  <si>
    <t>AR-INV-7376</t>
  </si>
  <si>
    <t>AR-INV-7377</t>
  </si>
  <si>
    <t>AR-INV-7378</t>
  </si>
  <si>
    <t>AR-INV-7379</t>
  </si>
  <si>
    <t>AR-INV-7380</t>
  </si>
  <si>
    <t>AR-INV-7381</t>
  </si>
  <si>
    <t>AR-INV-7382</t>
  </si>
  <si>
    <t>AR-INV-7383</t>
  </si>
  <si>
    <t>AR-INV-7384</t>
  </si>
  <si>
    <t>AR-INV-7385</t>
  </si>
  <si>
    <t>AR-INV-7386</t>
  </si>
  <si>
    <t>AR-INV-7387</t>
  </si>
  <si>
    <t>AR-INV-7388</t>
  </si>
  <si>
    <t>AR-INV-7389</t>
  </si>
  <si>
    <t>AR-INV-7390</t>
  </si>
  <si>
    <t>AR-INV-7391</t>
  </si>
  <si>
    <t>AR-INV-7392</t>
  </si>
  <si>
    <t>AR-INV-7393</t>
  </si>
  <si>
    <t>AR-INV-7394</t>
  </si>
  <si>
    <t>AR-INV-7395</t>
  </si>
  <si>
    <t>AR-INV-7396</t>
  </si>
  <si>
    <t>AR-INV-7397</t>
  </si>
  <si>
    <t>AR-INV-7398</t>
  </si>
  <si>
    <t>AR-INV-7399</t>
  </si>
  <si>
    <t>AR-INV-7400</t>
  </si>
  <si>
    <t>AR-INV-7401</t>
  </si>
  <si>
    <t>AR-INV-7402</t>
  </si>
  <si>
    <t>AR-INV-7403</t>
  </si>
  <si>
    <t>AR-INV-7404</t>
  </si>
  <si>
    <t>AR-INV-7405</t>
  </si>
  <si>
    <t>AR-INV-7406</t>
  </si>
  <si>
    <t>AR-INV-7407</t>
  </si>
  <si>
    <t>AR-INV-7408</t>
  </si>
  <si>
    <t>AR-INV-7409</t>
  </si>
  <si>
    <t>AR-INV-7410</t>
  </si>
  <si>
    <t>AR-INV-7411</t>
  </si>
  <si>
    <t>AR-INV-7412</t>
  </si>
  <si>
    <t>AR-INV-7413</t>
  </si>
  <si>
    <t>AR-INV-7414</t>
  </si>
  <si>
    <t>AR-INV-7415</t>
  </si>
  <si>
    <t>AR-INV-7416</t>
  </si>
  <si>
    <t>AR-INV-7417</t>
  </si>
  <si>
    <t>AR-INV-7418</t>
  </si>
  <si>
    <t>AR-INV-7419</t>
  </si>
  <si>
    <t>AR-INV-7420</t>
  </si>
  <si>
    <t>AR-INV-7421</t>
  </si>
  <si>
    <t>AR-INV-7422</t>
  </si>
  <si>
    <t>AR-INV-7423</t>
  </si>
  <si>
    <t>AR-INV-7424</t>
  </si>
  <si>
    <t>AR-INV-7425</t>
  </si>
  <si>
    <t>AR-INV-7426</t>
  </si>
  <si>
    <t>AR-INV-7427</t>
  </si>
  <si>
    <t>AR-INV-7428</t>
  </si>
  <si>
    <t>AR-INV-7429</t>
  </si>
  <si>
    <t>AR-INV-7430</t>
  </si>
  <si>
    <t>AR-INV-7431</t>
  </si>
  <si>
    <t>AR-INV-7432</t>
  </si>
  <si>
    <t>AR-INV-7433</t>
  </si>
  <si>
    <t>AR-INV-7434</t>
  </si>
  <si>
    <t>AR-INV-7435</t>
  </si>
  <si>
    <t>AR-INV-7436</t>
  </si>
  <si>
    <t>AR-INV-7437</t>
  </si>
  <si>
    <t>AR-INV-7438</t>
  </si>
  <si>
    <t>AR-INV-7439</t>
  </si>
  <si>
    <t>AR-INV-7440</t>
  </si>
  <si>
    <t>AR-INV-7441</t>
  </si>
  <si>
    <t>AR-INV-7442</t>
  </si>
  <si>
    <t>AR-INV-7443</t>
  </si>
  <si>
    <t>AR-INV-7444</t>
  </si>
  <si>
    <t>AR-INV-7445</t>
  </si>
  <si>
    <t>AR-INV-7446</t>
  </si>
  <si>
    <t>AR-INV-7447</t>
  </si>
  <si>
    <t>AR-INV-7448</t>
  </si>
  <si>
    <t>AR-INV-7449</t>
  </si>
  <si>
    <t>AR-INV-7450</t>
  </si>
  <si>
    <t>AR-INV-7451</t>
  </si>
  <si>
    <t>AR-INV-7452</t>
  </si>
  <si>
    <t>AR-INV-7453</t>
  </si>
  <si>
    <t>AR-INV-7454</t>
  </si>
  <si>
    <t>AR-INV-7455</t>
  </si>
  <si>
    <t>AR-INV-7456</t>
  </si>
  <si>
    <t>AR-INV-7457</t>
  </si>
  <si>
    <t>AR-INV-7458</t>
  </si>
  <si>
    <t>AR-INV-7459</t>
  </si>
  <si>
    <t>AR-INV-7460</t>
  </si>
  <si>
    <t>AR-INV-7461</t>
  </si>
  <si>
    <t>AR-INV-7462</t>
  </si>
  <si>
    <t>AR-INV-7463</t>
  </si>
  <si>
    <t>AR-INV-7464</t>
  </si>
  <si>
    <t>AR-INV-7465</t>
  </si>
  <si>
    <t>AR-INV-7466</t>
  </si>
  <si>
    <t>AR-INV-7467</t>
  </si>
  <si>
    <t>AR-INV-7468</t>
  </si>
  <si>
    <t>AR-INV-7469</t>
  </si>
  <si>
    <t>AR-INV-7470</t>
  </si>
  <si>
    <t>AR-INV-7471</t>
  </si>
  <si>
    <t>AR-INV-7472</t>
  </si>
  <si>
    <t>AR-INV-7473</t>
  </si>
  <si>
    <t>AR-INV-7474</t>
  </si>
  <si>
    <t>AR-INV-7475</t>
  </si>
  <si>
    <t>AR-INV-7476</t>
  </si>
  <si>
    <t>AR-INV-7477</t>
  </si>
  <si>
    <t>AR-INV-7478</t>
  </si>
  <si>
    <t>AR-INV-7479</t>
  </si>
  <si>
    <t>AR-INV-7480</t>
  </si>
  <si>
    <t>AR-INV-7481</t>
  </si>
  <si>
    <t>AR-INV-7482</t>
  </si>
  <si>
    <t>AR-INV-7483</t>
  </si>
  <si>
    <t>AR-INV-7484</t>
  </si>
  <si>
    <t>AR-INV-7485</t>
  </si>
  <si>
    <t>AR-INV-7486</t>
  </si>
  <si>
    <t>AR-INV-7487</t>
  </si>
  <si>
    <t>AR-INV-7488</t>
  </si>
  <si>
    <t>AR-INV-7489</t>
  </si>
  <si>
    <t>AR-INV-7490</t>
  </si>
  <si>
    <t>AR-INV-7491</t>
  </si>
  <si>
    <t>AR-INV-7492</t>
  </si>
  <si>
    <t>AR-INV-7493</t>
  </si>
  <si>
    <t>AR-INV-7494</t>
  </si>
  <si>
    <t>AR-INV-7495</t>
  </si>
  <si>
    <t>AR-INV-7496</t>
  </si>
  <si>
    <t>AR-INV-7497</t>
  </si>
  <si>
    <t>AR-INV-7498</t>
  </si>
  <si>
    <t>AR-INV-7499</t>
  </si>
  <si>
    <t>AR-INV-7500</t>
  </si>
  <si>
    <t>Credit Terms(Days)</t>
  </si>
  <si>
    <t>Days Overdue</t>
  </si>
  <si>
    <t>Invoice Amount</t>
  </si>
  <si>
    <t>Due Date</t>
  </si>
  <si>
    <t>Invoice Date</t>
  </si>
  <si>
    <t>Customer ID</t>
  </si>
  <si>
    <t>Invoice ID</t>
  </si>
  <si>
    <t>Row Labels</t>
  </si>
  <si>
    <t>Sum of Invoice Amount</t>
  </si>
  <si>
    <t>Aging Category</t>
  </si>
  <si>
    <t>Total Outstanding AR</t>
  </si>
  <si>
    <t>% of AR Overdue</t>
  </si>
  <si>
    <t>Overdue Invoices</t>
  </si>
  <si>
    <t>Total Outstanding</t>
  </si>
  <si>
    <t>90+ days</t>
  </si>
  <si>
    <t>1-30 days</t>
  </si>
  <si>
    <t>31-60 days</t>
  </si>
  <si>
    <t>61-90 days</t>
  </si>
  <si>
    <t xml:space="preserve"> Outstanding Invoices</t>
  </si>
  <si>
    <t>Accounts Receivable Ageing Dashboard as of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</si>
</sst>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43" fontId="0" fillId="0" borderId="0" xfId="1" applyFont="1"/>
    <xf numFmtId="0" fontId="2" fillId="0" borderId="0" xfId="0" applyFont="1" applyAlignment="1">
      <alignment wrapText="1"/>
    </xf>
    <xf numFmtId="43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2" borderId="1" xfId="0" applyFont="1" applyFill="1" applyBorder="1"/>
    <xf numFmtId="16" fontId="0" fillId="0" borderId="0" xfId="0" applyNumberFormat="1"/>
    <xf numFmtId="0" fontId="2" fillId="2" borderId="0" xfId="0" applyFont="1" applyFill="1"/>
    <xf numFmtId="43" fontId="2" fillId="4" borderId="1" xfId="1" applyFont="1" applyFill="1" applyBorder="1"/>
    <xf numFmtId="9" fontId="2" fillId="4" borderId="1" xfId="2" applyFont="1" applyFill="1" applyBorder="1"/>
    <xf numFmtId="0" fontId="2" fillId="4" borderId="1" xfId="0" applyFont="1" applyFill="1" applyBorder="1"/>
    <xf numFmtId="0" fontId="2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3" fillId="3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9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numFmt numFmtId="0" formatCode="General"/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mm/dd/yy;@"/>
    </dxf>
    <dxf>
      <numFmt numFmtId="19" formatCode="m/d/yyyy"/>
    </dxf>
    <dxf>
      <numFmt numFmtId="164" formatCode="mm/dd/yy;@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Outstanding</a:t>
            </a:r>
          </a:p>
        </c:rich>
      </c:tx>
      <c:layout>
        <c:manualLayout>
          <c:xMode val="edge"/>
          <c:yMode val="edge"/>
          <c:x val="0.4067152230971128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Total Outstanding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DashBoard!$A$9:$A$12</c:f>
              <c:strCache>
                <c:ptCount val="4"/>
                <c:pt idx="0">
                  <c:v>1-30 days</c:v>
                </c:pt>
                <c:pt idx="1">
                  <c:v>31-60 days</c:v>
                </c:pt>
                <c:pt idx="2">
                  <c:v>61-90 days</c:v>
                </c:pt>
                <c:pt idx="3">
                  <c:v>90+ days</c:v>
                </c:pt>
              </c:strCache>
            </c:strRef>
          </c:cat>
          <c:val>
            <c:numRef>
              <c:f>DashBoard!$B$9:$B$12</c:f>
              <c:numCache>
                <c:formatCode>_(* #,##0.00_);_(* \(#,##0.00\);_(* "-"??_);_(@_)</c:formatCode>
                <c:ptCount val="4"/>
                <c:pt idx="0">
                  <c:v>78495.87</c:v>
                </c:pt>
                <c:pt idx="1">
                  <c:v>59767.11</c:v>
                </c:pt>
                <c:pt idx="2">
                  <c:v>64543.569999999992</c:v>
                </c:pt>
                <c:pt idx="3">
                  <c:v>1784932.94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9-4BE2-86E5-6B85028E49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20343599"/>
        <c:axId val="694628687"/>
      </c:barChart>
      <c:catAx>
        <c:axId val="720343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628687"/>
        <c:crosses val="autoZero"/>
        <c:auto val="1"/>
        <c:lblAlgn val="ctr"/>
        <c:lblOffset val="100"/>
        <c:noMultiLvlLbl val="0"/>
      </c:catAx>
      <c:valAx>
        <c:axId val="69462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343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[Ageing Accounts Receivable.xlsx]DashBoard!PivotTable2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/>
              <a:t>Outstanding Balance by Customer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DashBoard!$A$29:$A$33</c:f>
              <c:strCache>
                <c:ptCount val="5"/>
                <c:pt idx="0">
                  <c:v>CUS-04</c:v>
                </c:pt>
                <c:pt idx="1">
                  <c:v>CUS-01</c:v>
                </c:pt>
                <c:pt idx="2">
                  <c:v>CUS-05</c:v>
                </c:pt>
                <c:pt idx="3">
                  <c:v>CUS-03</c:v>
                </c:pt>
                <c:pt idx="4">
                  <c:v>CUS-02</c:v>
                </c:pt>
              </c:strCache>
            </c:strRef>
          </c:cat>
          <c:val>
            <c:numRef>
              <c:f>DashBoard!$B$29:$B$33</c:f>
              <c:numCache>
                <c:formatCode>_(* #,##0.00_);_(* \(#,##0.00\);_(* "-"??_);_(@_)</c:formatCode>
                <c:ptCount val="5"/>
                <c:pt idx="0">
                  <c:v>560601.29</c:v>
                </c:pt>
                <c:pt idx="1">
                  <c:v>481270.58</c:v>
                </c:pt>
                <c:pt idx="2">
                  <c:v>400940.64999999997</c:v>
                </c:pt>
                <c:pt idx="3">
                  <c:v>299263.82</c:v>
                </c:pt>
                <c:pt idx="4">
                  <c:v>245663.15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B-4CFF-9468-476D2F794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0351951"/>
        <c:axId val="694888367"/>
      </c:barChart>
      <c:catAx>
        <c:axId val="72035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888367"/>
        <c:crosses val="autoZero"/>
        <c:auto val="1"/>
        <c:lblAlgn val="ctr"/>
        <c:lblOffset val="100"/>
        <c:noMultiLvlLbl val="0"/>
      </c:catAx>
      <c:valAx>
        <c:axId val="69488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351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DashBoard!$C$8</c:f>
              <c:strCache>
                <c:ptCount val="1"/>
                <c:pt idx="0">
                  <c:v> Outstanding Invoices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DashBoard!$A$9:$A$12</c:f>
              <c:strCache>
                <c:ptCount val="4"/>
                <c:pt idx="0">
                  <c:v>1-30 days</c:v>
                </c:pt>
                <c:pt idx="1">
                  <c:v>31-60 days</c:v>
                </c:pt>
                <c:pt idx="2">
                  <c:v>61-90 days</c:v>
                </c:pt>
                <c:pt idx="3">
                  <c:v>90+ days</c:v>
                </c:pt>
              </c:strCache>
            </c:strRef>
          </c:cat>
          <c:val>
            <c:numRef>
              <c:f>DashBoard!$C$9:$C$12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1-4CE2-B63D-A227514F44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46093295"/>
        <c:axId val="694737167"/>
      </c:barChart>
      <c:catAx>
        <c:axId val="64609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737167"/>
        <c:crosses val="autoZero"/>
        <c:auto val="1"/>
        <c:lblAlgn val="ctr"/>
        <c:lblOffset val="100"/>
        <c:noMultiLvlLbl val="0"/>
      </c:catAx>
      <c:valAx>
        <c:axId val="694737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093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765175</xdr:colOff>
      <xdr:row>7</xdr:row>
      <xdr:rowOff>12700</xdr:rowOff>
    </xdr:from>
    <xdr:to>
      <xdr:col>10</xdr:col>
      <xdr:colOff>276225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11E02F-7761-D46A-799D-4A982C3DC4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685800</xdr:colOff>
      <xdr:row>25</xdr:row>
      <xdr:rowOff>28575</xdr:rowOff>
    </xdr:from>
    <xdr:to>
      <xdr:col>7</xdr:col>
      <xdr:colOff>349250</xdr:colOff>
      <xdr:row>40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3F6FA9-5992-68D5-50DB-E0B7114BB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320675</xdr:colOff>
      <xdr:row>6</xdr:row>
      <xdr:rowOff>165100</xdr:rowOff>
    </xdr:from>
    <xdr:to>
      <xdr:col>19</xdr:col>
      <xdr:colOff>15875</xdr:colOff>
      <xdr:row>21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39BEDA-AE72-183A-DB51-42BD4FCFFA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0.671675694444" createdVersion="8" refreshedVersion="8" minRefreshableVersion="3" recordCount="500" xr:uid="{3B800DA6-1A48-473D-A2BB-3A5CE7866607}">
  <cacheSource type="worksheet">
    <worksheetSource name="Table1"/>
  </cacheSource>
  <cacheFields count="10">
    <cacheField name="Invoice ID" numFmtId="0">
      <sharedItems count="500">
        <s v="AR-INV-7001"/>
        <s v="AR-INV-7002"/>
        <s v="AR-INV-7003"/>
        <s v="AR-INV-7004"/>
        <s v="AR-INV-7005"/>
        <s v="AR-INV-7006"/>
        <s v="AR-INV-7007"/>
        <s v="AR-INV-7008"/>
        <s v="AR-INV-7009"/>
        <s v="AR-INV-7010"/>
        <s v="AR-INV-7011"/>
        <s v="AR-INV-7012"/>
        <s v="AR-INV-7013"/>
        <s v="AR-INV-7014"/>
        <s v="AR-INV-7015"/>
        <s v="AR-INV-7016"/>
        <s v="AR-INV-7017"/>
        <s v="AR-INV-7018"/>
        <s v="AR-INV-7019"/>
        <s v="AR-INV-7020"/>
        <s v="AR-INV-7021"/>
        <s v="AR-INV-7022"/>
        <s v="AR-INV-7023"/>
        <s v="AR-INV-7024"/>
        <s v="AR-INV-7025"/>
        <s v="AR-INV-7026"/>
        <s v="AR-INV-7027"/>
        <s v="AR-INV-7028"/>
        <s v="AR-INV-7029"/>
        <s v="AR-INV-7030"/>
        <s v="AR-INV-7031"/>
        <s v="AR-INV-7032"/>
        <s v="AR-INV-7033"/>
        <s v="AR-INV-7034"/>
        <s v="AR-INV-7035"/>
        <s v="AR-INV-7036"/>
        <s v="AR-INV-7037"/>
        <s v="AR-INV-7038"/>
        <s v="AR-INV-7039"/>
        <s v="AR-INV-7040"/>
        <s v="AR-INV-7041"/>
        <s v="AR-INV-7042"/>
        <s v="AR-INV-7043"/>
        <s v="AR-INV-7044"/>
        <s v="AR-INV-7045"/>
        <s v="AR-INV-7046"/>
        <s v="AR-INV-7047"/>
        <s v="AR-INV-7048"/>
        <s v="AR-INV-7049"/>
        <s v="AR-INV-7050"/>
        <s v="AR-INV-7051"/>
        <s v="AR-INV-7052"/>
        <s v="AR-INV-7053"/>
        <s v="AR-INV-7054"/>
        <s v="AR-INV-7055"/>
        <s v="AR-INV-7056"/>
        <s v="AR-INV-7057"/>
        <s v="AR-INV-7058"/>
        <s v="AR-INV-7059"/>
        <s v="AR-INV-7060"/>
        <s v="AR-INV-7061"/>
        <s v="AR-INV-7062"/>
        <s v="AR-INV-7063"/>
        <s v="AR-INV-7064"/>
        <s v="AR-INV-7065"/>
        <s v="AR-INV-7066"/>
        <s v="AR-INV-7067"/>
        <s v="AR-INV-7068"/>
        <s v="AR-INV-7069"/>
        <s v="AR-INV-7070"/>
        <s v="AR-INV-7071"/>
        <s v="AR-INV-7072"/>
        <s v="AR-INV-7073"/>
        <s v="AR-INV-7074"/>
        <s v="AR-INV-7075"/>
        <s v="AR-INV-7076"/>
        <s v="AR-INV-7077"/>
        <s v="AR-INV-7078"/>
        <s v="AR-INV-7079"/>
        <s v="AR-INV-7080"/>
        <s v="AR-INV-7081"/>
        <s v="AR-INV-7082"/>
        <s v="AR-INV-7083"/>
        <s v="AR-INV-7084"/>
        <s v="AR-INV-7085"/>
        <s v="AR-INV-7086"/>
        <s v="AR-INV-7087"/>
        <s v="AR-INV-7088"/>
        <s v="AR-INV-7089"/>
        <s v="AR-INV-7090"/>
        <s v="AR-INV-7091"/>
        <s v="AR-INV-7092"/>
        <s v="AR-INV-7093"/>
        <s v="AR-INV-7094"/>
        <s v="AR-INV-7095"/>
        <s v="AR-INV-7096"/>
        <s v="AR-INV-7097"/>
        <s v="AR-INV-7098"/>
        <s v="AR-INV-7099"/>
        <s v="AR-INV-7100"/>
        <s v="AR-INV-7101"/>
        <s v="AR-INV-7102"/>
        <s v="AR-INV-7103"/>
        <s v="AR-INV-7104"/>
        <s v="AR-INV-7105"/>
        <s v="AR-INV-7106"/>
        <s v="AR-INV-7107"/>
        <s v="AR-INV-7108"/>
        <s v="AR-INV-7109"/>
        <s v="AR-INV-7110"/>
        <s v="AR-INV-7111"/>
        <s v="AR-INV-7112"/>
        <s v="AR-INV-7113"/>
        <s v="AR-INV-7114"/>
        <s v="AR-INV-7115"/>
        <s v="AR-INV-7116"/>
        <s v="AR-INV-7117"/>
        <s v="AR-INV-7118"/>
        <s v="AR-INV-7119"/>
        <s v="AR-INV-7120"/>
        <s v="AR-INV-7121"/>
        <s v="AR-INV-7122"/>
        <s v="AR-INV-7123"/>
        <s v="AR-INV-7124"/>
        <s v="AR-INV-7125"/>
        <s v="AR-INV-7126"/>
        <s v="AR-INV-7127"/>
        <s v="AR-INV-7128"/>
        <s v="AR-INV-7129"/>
        <s v="AR-INV-7130"/>
        <s v="AR-INV-7131"/>
        <s v="AR-INV-7132"/>
        <s v="AR-INV-7133"/>
        <s v="AR-INV-7134"/>
        <s v="AR-INV-7135"/>
        <s v="AR-INV-7136"/>
        <s v="AR-INV-7137"/>
        <s v="AR-INV-7138"/>
        <s v="AR-INV-7139"/>
        <s v="AR-INV-7140"/>
        <s v="AR-INV-7141"/>
        <s v="AR-INV-7142"/>
        <s v="AR-INV-7143"/>
        <s v="AR-INV-7144"/>
        <s v="AR-INV-7145"/>
        <s v="AR-INV-7146"/>
        <s v="AR-INV-7147"/>
        <s v="AR-INV-7148"/>
        <s v="AR-INV-7149"/>
        <s v="AR-INV-7150"/>
        <s v="AR-INV-7151"/>
        <s v="AR-INV-7152"/>
        <s v="AR-INV-7153"/>
        <s v="AR-INV-7154"/>
        <s v="AR-INV-7155"/>
        <s v="AR-INV-7156"/>
        <s v="AR-INV-7157"/>
        <s v="AR-INV-7158"/>
        <s v="AR-INV-7159"/>
        <s v="AR-INV-7160"/>
        <s v="AR-INV-7161"/>
        <s v="AR-INV-7162"/>
        <s v="AR-INV-7163"/>
        <s v="AR-INV-7164"/>
        <s v="AR-INV-7165"/>
        <s v="AR-INV-7166"/>
        <s v="AR-INV-7167"/>
        <s v="AR-INV-7168"/>
        <s v="AR-INV-7169"/>
        <s v="AR-INV-7170"/>
        <s v="AR-INV-7171"/>
        <s v="AR-INV-7172"/>
        <s v="AR-INV-7173"/>
        <s v="AR-INV-7174"/>
        <s v="AR-INV-7175"/>
        <s v="AR-INV-7176"/>
        <s v="AR-INV-7177"/>
        <s v="AR-INV-7178"/>
        <s v="AR-INV-7179"/>
        <s v="AR-INV-7180"/>
        <s v="AR-INV-7181"/>
        <s v="AR-INV-7182"/>
        <s v="AR-INV-7183"/>
        <s v="AR-INV-7184"/>
        <s v="AR-INV-7185"/>
        <s v="AR-INV-7186"/>
        <s v="AR-INV-7187"/>
        <s v="AR-INV-7188"/>
        <s v="AR-INV-7189"/>
        <s v="AR-INV-7190"/>
        <s v="AR-INV-7191"/>
        <s v="AR-INV-7192"/>
        <s v="AR-INV-7193"/>
        <s v="AR-INV-7194"/>
        <s v="AR-INV-7195"/>
        <s v="AR-INV-7196"/>
        <s v="AR-INV-7197"/>
        <s v="AR-INV-7198"/>
        <s v="AR-INV-7199"/>
        <s v="AR-INV-7200"/>
        <s v="AR-INV-7201"/>
        <s v="AR-INV-7202"/>
        <s v="AR-INV-7203"/>
        <s v="AR-INV-7204"/>
        <s v="AR-INV-7205"/>
        <s v="AR-INV-7206"/>
        <s v="AR-INV-7207"/>
        <s v="AR-INV-7208"/>
        <s v="AR-INV-7209"/>
        <s v="AR-INV-7210"/>
        <s v="AR-INV-7211"/>
        <s v="AR-INV-7212"/>
        <s v="AR-INV-7213"/>
        <s v="AR-INV-7214"/>
        <s v="AR-INV-7215"/>
        <s v="AR-INV-7216"/>
        <s v="AR-INV-7217"/>
        <s v="AR-INV-7218"/>
        <s v="AR-INV-7219"/>
        <s v="AR-INV-7220"/>
        <s v="AR-INV-7221"/>
        <s v="AR-INV-7222"/>
        <s v="AR-INV-7223"/>
        <s v="AR-INV-7224"/>
        <s v="AR-INV-7225"/>
        <s v="AR-INV-7226"/>
        <s v="AR-INV-7227"/>
        <s v="AR-INV-7228"/>
        <s v="AR-INV-7229"/>
        <s v="AR-INV-7230"/>
        <s v="AR-INV-7231"/>
        <s v="AR-INV-7232"/>
        <s v="AR-INV-7233"/>
        <s v="AR-INV-7234"/>
        <s v="AR-INV-7235"/>
        <s v="AR-INV-7236"/>
        <s v="AR-INV-7237"/>
        <s v="AR-INV-7238"/>
        <s v="AR-INV-7239"/>
        <s v="AR-INV-7240"/>
        <s v="AR-INV-7241"/>
        <s v="AR-INV-7242"/>
        <s v="AR-INV-7243"/>
        <s v="AR-INV-7244"/>
        <s v="AR-INV-7245"/>
        <s v="AR-INV-7246"/>
        <s v="AR-INV-7247"/>
        <s v="AR-INV-7248"/>
        <s v="AR-INV-7249"/>
        <s v="AR-INV-7250"/>
        <s v="AR-INV-7251"/>
        <s v="AR-INV-7252"/>
        <s v="AR-INV-7253"/>
        <s v="AR-INV-7254"/>
        <s v="AR-INV-7255"/>
        <s v="AR-INV-7256"/>
        <s v="AR-INV-7257"/>
        <s v="AR-INV-7258"/>
        <s v="AR-INV-7259"/>
        <s v="AR-INV-7260"/>
        <s v="AR-INV-7261"/>
        <s v="AR-INV-7262"/>
        <s v="AR-INV-7263"/>
        <s v="AR-INV-7264"/>
        <s v="AR-INV-7265"/>
        <s v="AR-INV-7266"/>
        <s v="AR-INV-7267"/>
        <s v="AR-INV-7268"/>
        <s v="AR-INV-7269"/>
        <s v="AR-INV-7270"/>
        <s v="AR-INV-7271"/>
        <s v="AR-INV-7272"/>
        <s v="AR-INV-7273"/>
        <s v="AR-INV-7274"/>
        <s v="AR-INV-7275"/>
        <s v="AR-INV-7276"/>
        <s v="AR-INV-7277"/>
        <s v="AR-INV-7278"/>
        <s v="AR-INV-7279"/>
        <s v="AR-INV-7280"/>
        <s v="AR-INV-7281"/>
        <s v="AR-INV-7282"/>
        <s v="AR-INV-7283"/>
        <s v="AR-INV-7284"/>
        <s v="AR-INV-7285"/>
        <s v="AR-INV-7286"/>
        <s v="AR-INV-7287"/>
        <s v="AR-INV-7288"/>
        <s v="AR-INV-7289"/>
        <s v="AR-INV-7290"/>
        <s v="AR-INV-7291"/>
        <s v="AR-INV-7292"/>
        <s v="AR-INV-7293"/>
        <s v="AR-INV-7294"/>
        <s v="AR-INV-7295"/>
        <s v="AR-INV-7296"/>
        <s v="AR-INV-7297"/>
        <s v="AR-INV-7298"/>
        <s v="AR-INV-7299"/>
        <s v="AR-INV-7300"/>
        <s v="AR-INV-7301"/>
        <s v="AR-INV-7302"/>
        <s v="AR-INV-7303"/>
        <s v="AR-INV-7304"/>
        <s v="AR-INV-7305"/>
        <s v="AR-INV-7306"/>
        <s v="AR-INV-7307"/>
        <s v="AR-INV-7308"/>
        <s v="AR-INV-7309"/>
        <s v="AR-INV-7310"/>
        <s v="AR-INV-7311"/>
        <s v="AR-INV-7312"/>
        <s v="AR-INV-7313"/>
        <s v="AR-INV-7314"/>
        <s v="AR-INV-7315"/>
        <s v="AR-INV-7316"/>
        <s v="AR-INV-7317"/>
        <s v="AR-INV-7318"/>
        <s v="AR-INV-7319"/>
        <s v="AR-INV-7320"/>
        <s v="AR-INV-7321"/>
        <s v="AR-INV-7322"/>
        <s v="AR-INV-7323"/>
        <s v="AR-INV-7324"/>
        <s v="AR-INV-7325"/>
        <s v="AR-INV-7326"/>
        <s v="AR-INV-7327"/>
        <s v="AR-INV-7328"/>
        <s v="AR-INV-7329"/>
        <s v="AR-INV-7330"/>
        <s v="AR-INV-7331"/>
        <s v="AR-INV-7332"/>
        <s v="AR-INV-7333"/>
        <s v="AR-INV-7334"/>
        <s v="AR-INV-7335"/>
        <s v="AR-INV-7336"/>
        <s v="AR-INV-7337"/>
        <s v="AR-INV-7338"/>
        <s v="AR-INV-7339"/>
        <s v="AR-INV-7340"/>
        <s v="AR-INV-7341"/>
        <s v="AR-INV-7342"/>
        <s v="AR-INV-7343"/>
        <s v="AR-INV-7344"/>
        <s v="AR-INV-7345"/>
        <s v="AR-INV-7346"/>
        <s v="AR-INV-7347"/>
        <s v="AR-INV-7348"/>
        <s v="AR-INV-7349"/>
        <s v="AR-INV-7350"/>
        <s v="AR-INV-7351"/>
        <s v="AR-INV-7352"/>
        <s v="AR-INV-7353"/>
        <s v="AR-INV-7354"/>
        <s v="AR-INV-7355"/>
        <s v="AR-INV-7356"/>
        <s v="AR-INV-7357"/>
        <s v="AR-INV-7358"/>
        <s v="AR-INV-7359"/>
        <s v="AR-INV-7360"/>
        <s v="AR-INV-7361"/>
        <s v="AR-INV-7362"/>
        <s v="AR-INV-7363"/>
        <s v="AR-INV-7364"/>
        <s v="AR-INV-7365"/>
        <s v="AR-INV-7366"/>
        <s v="AR-INV-7367"/>
        <s v="AR-INV-7368"/>
        <s v="AR-INV-7369"/>
        <s v="AR-INV-7370"/>
        <s v="AR-INV-7371"/>
        <s v="AR-INV-7372"/>
        <s v="AR-INV-7373"/>
        <s v="AR-INV-7374"/>
        <s v="AR-INV-7375"/>
        <s v="AR-INV-7376"/>
        <s v="AR-INV-7377"/>
        <s v="AR-INV-7378"/>
        <s v="AR-INV-7379"/>
        <s v="AR-INV-7380"/>
        <s v="AR-INV-7381"/>
        <s v="AR-INV-7382"/>
        <s v="AR-INV-7383"/>
        <s v="AR-INV-7384"/>
        <s v="AR-INV-7385"/>
        <s v="AR-INV-7386"/>
        <s v="AR-INV-7387"/>
        <s v="AR-INV-7388"/>
        <s v="AR-INV-7389"/>
        <s v="AR-INV-7390"/>
        <s v="AR-INV-7391"/>
        <s v="AR-INV-7392"/>
        <s v="AR-INV-7393"/>
        <s v="AR-INV-7394"/>
        <s v="AR-INV-7395"/>
        <s v="AR-INV-7396"/>
        <s v="AR-INV-7397"/>
        <s v="AR-INV-7398"/>
        <s v="AR-INV-7399"/>
        <s v="AR-INV-7400"/>
        <s v="AR-INV-7401"/>
        <s v="AR-INV-7402"/>
        <s v="AR-INV-7403"/>
        <s v="AR-INV-7404"/>
        <s v="AR-INV-7405"/>
        <s v="AR-INV-7406"/>
        <s v="AR-INV-7407"/>
        <s v="AR-INV-7408"/>
        <s v="AR-INV-7409"/>
        <s v="AR-INV-7410"/>
        <s v="AR-INV-7411"/>
        <s v="AR-INV-7412"/>
        <s v="AR-INV-7413"/>
        <s v="AR-INV-7414"/>
        <s v="AR-INV-7415"/>
        <s v="AR-INV-7416"/>
        <s v="AR-INV-7417"/>
        <s v="AR-INV-7418"/>
        <s v="AR-INV-7419"/>
        <s v="AR-INV-7420"/>
        <s v="AR-INV-7421"/>
        <s v="AR-INV-7422"/>
        <s v="AR-INV-7423"/>
        <s v="AR-INV-7424"/>
        <s v="AR-INV-7425"/>
        <s v="AR-INV-7426"/>
        <s v="AR-INV-7427"/>
        <s v="AR-INV-7428"/>
        <s v="AR-INV-7429"/>
        <s v="AR-INV-7430"/>
        <s v="AR-INV-7431"/>
        <s v="AR-INV-7432"/>
        <s v="AR-INV-7433"/>
        <s v="AR-INV-7434"/>
        <s v="AR-INV-7435"/>
        <s v="AR-INV-7436"/>
        <s v="AR-INV-7437"/>
        <s v="AR-INV-7438"/>
        <s v="AR-INV-7439"/>
        <s v="AR-INV-7440"/>
        <s v="AR-INV-7441"/>
        <s v="AR-INV-7442"/>
        <s v="AR-INV-7443"/>
        <s v="AR-INV-7444"/>
        <s v="AR-INV-7445"/>
        <s v="AR-INV-7446"/>
        <s v="AR-INV-7447"/>
        <s v="AR-INV-7448"/>
        <s v="AR-INV-7449"/>
        <s v="AR-INV-7450"/>
        <s v="AR-INV-7451"/>
        <s v="AR-INV-7452"/>
        <s v="AR-INV-7453"/>
        <s v="AR-INV-7454"/>
        <s v="AR-INV-7455"/>
        <s v="AR-INV-7456"/>
        <s v="AR-INV-7457"/>
        <s v="AR-INV-7458"/>
        <s v="AR-INV-7459"/>
        <s v="AR-INV-7460"/>
        <s v="AR-INV-7461"/>
        <s v="AR-INV-7462"/>
        <s v="AR-INV-7463"/>
        <s v="AR-INV-7464"/>
        <s v="AR-INV-7465"/>
        <s v="AR-INV-7466"/>
        <s v="AR-INV-7467"/>
        <s v="AR-INV-7468"/>
        <s v="AR-INV-7469"/>
        <s v="AR-INV-7470"/>
        <s v="AR-INV-7471"/>
        <s v="AR-INV-7472"/>
        <s v="AR-INV-7473"/>
        <s v="AR-INV-7474"/>
        <s v="AR-INV-7475"/>
        <s v="AR-INV-7476"/>
        <s v="AR-INV-7477"/>
        <s v="AR-INV-7478"/>
        <s v="AR-INV-7479"/>
        <s v="AR-INV-7480"/>
        <s v="AR-INV-7481"/>
        <s v="AR-INV-7482"/>
        <s v="AR-INV-7483"/>
        <s v="AR-INV-7484"/>
        <s v="AR-INV-7485"/>
        <s v="AR-INV-7486"/>
        <s v="AR-INV-7487"/>
        <s v="AR-INV-7488"/>
        <s v="AR-INV-7489"/>
        <s v="AR-INV-7490"/>
        <s v="AR-INV-7491"/>
        <s v="AR-INV-7492"/>
        <s v="AR-INV-7493"/>
        <s v="AR-INV-7494"/>
        <s v="AR-INV-7495"/>
        <s v="AR-INV-7496"/>
        <s v="AR-INV-7497"/>
        <s v="AR-INV-7498"/>
        <s v="AR-INV-7499"/>
        <s v="AR-INV-7500"/>
      </sharedItems>
    </cacheField>
    <cacheField name="Customer ID" numFmtId="0">
      <sharedItems containsBlank="1" count="6">
        <s v="CUS-05"/>
        <s v="CUS-01"/>
        <s v="CUS-04"/>
        <s v="CUS-02"/>
        <s v="CUS-03"/>
        <m u="1"/>
      </sharedItems>
    </cacheField>
    <cacheField name="Invoice Date" numFmtId="14">
      <sharedItems containsSemiMixedTypes="0" containsNonDate="0" containsDate="1" containsString="0" minDate="2023-01-04T00:00:00" maxDate="2026-08-29T00:00:00" count="417">
        <d v="2024-02-29T00:00:00"/>
        <d v="2024-09-28T00:00:00"/>
        <d v="2023-12-24T00:00:00"/>
        <d v="2025-04-17T00:00:00"/>
        <d v="2023-08-21T00:00:00"/>
        <d v="2025-01-12T00:00:00"/>
        <d v="2023-04-17T00:00:00"/>
        <d v="2025-12-21T00:00:00"/>
        <d v="2026-07-02T00:00:00"/>
        <d v="2024-12-24T00:00:00"/>
        <d v="2025-06-25T00:00:00"/>
        <d v="2024-10-28T00:00:00"/>
        <d v="2024-07-08T00:00:00"/>
        <d v="2026-08-14T00:00:00"/>
        <d v="2023-01-04T00:00:00"/>
        <d v="2025-09-27T00:00:00"/>
        <d v="2023-06-02T00:00:00"/>
        <d v="2024-09-09T00:00:00"/>
        <d v="2024-01-21T00:00:00"/>
        <d v="2023-10-11T00:00:00"/>
        <d v="2024-02-16T00:00:00"/>
        <d v="2025-07-25T00:00:00"/>
        <d v="2024-05-12T00:00:00"/>
        <d v="2026-05-21T00:00:00"/>
        <d v="2024-05-22T00:00:00"/>
        <d v="2023-02-08T00:00:00"/>
        <d v="2026-03-10T00:00:00"/>
        <d v="2026-07-22T00:00:00"/>
        <d v="2025-09-01T00:00:00"/>
        <d v="2026-08-10T00:00:00"/>
        <d v="2025-11-28T00:00:00"/>
        <d v="2023-02-12T00:00:00"/>
        <d v="2025-12-18T00:00:00"/>
        <d v="2025-12-30T00:00:00"/>
        <d v="2024-09-02T00:00:00"/>
        <d v="2023-10-02T00:00:00"/>
        <d v="2025-02-07T00:00:00"/>
        <d v="2023-08-07T00:00:00"/>
        <d v="2026-08-11T00:00:00"/>
        <d v="2025-05-25T00:00:00"/>
        <d v="2023-07-26T00:00:00"/>
        <d v="2024-11-29T00:00:00"/>
        <d v="2025-03-22T00:00:00"/>
        <d v="2026-07-28T00:00:00"/>
        <d v="2024-01-27T00:00:00"/>
        <d v="2023-02-25T00:00:00"/>
        <d v="2025-05-06T00:00:00"/>
        <d v="2023-01-11T00:00:00"/>
        <d v="2024-05-29T00:00:00"/>
        <d v="2023-05-15T00:00:00"/>
        <d v="2025-03-30T00:00:00"/>
        <d v="2025-10-10T00:00:00"/>
        <d v="2023-11-03T00:00:00"/>
        <d v="2024-02-19T00:00:00"/>
        <d v="2023-09-27T00:00:00"/>
        <d v="2025-03-12T00:00:00"/>
        <d v="2024-09-14T00:00:00"/>
        <d v="2024-06-30T00:00:00"/>
        <d v="2025-12-03T00:00:00"/>
        <d v="2025-10-06T00:00:00"/>
        <d v="2023-07-15T00:00:00"/>
        <d v="2025-01-14T00:00:00"/>
        <d v="2025-05-05T00:00:00"/>
        <d v="2023-02-02T00:00:00"/>
        <d v="2024-10-29T00:00:00"/>
        <d v="2025-05-04T00:00:00"/>
        <d v="2023-10-09T00:00:00"/>
        <d v="2025-07-13T00:00:00"/>
        <d v="2024-12-16T00:00:00"/>
        <d v="2024-03-29T00:00:00"/>
        <d v="2023-07-24T00:00:00"/>
        <d v="2023-03-14T00:00:00"/>
        <d v="2024-04-09T00:00:00"/>
        <d v="2025-02-10T00:00:00"/>
        <d v="2023-01-14T00:00:00"/>
        <d v="2026-01-01T00:00:00"/>
        <d v="2026-06-28T00:00:00"/>
        <d v="2023-01-20T00:00:00"/>
        <d v="2024-01-03T00:00:00"/>
        <d v="2023-06-24T00:00:00"/>
        <d v="2024-04-30T00:00:00"/>
        <d v="2026-04-23T00:00:00"/>
        <d v="2025-02-23T00:00:00"/>
        <d v="2026-04-12T00:00:00"/>
        <d v="2025-09-28T00:00:00"/>
        <d v="2026-06-23T00:00:00"/>
        <d v="2026-03-19T00:00:00"/>
        <d v="2026-08-28T00:00:00"/>
        <d v="2026-06-10T00:00:00"/>
        <d v="2025-06-19T00:00:00"/>
        <d v="2025-07-02T00:00:00"/>
        <d v="2024-12-01T00:00:00"/>
        <d v="2024-08-17T00:00:00"/>
        <d v="2026-08-19T00:00:00"/>
        <d v="2025-04-11T00:00:00"/>
        <d v="2026-05-29T00:00:00"/>
        <d v="2025-04-23T00:00:00"/>
        <d v="2025-10-03T00:00:00"/>
        <d v="2024-09-06T00:00:00"/>
        <d v="2025-10-15T00:00:00"/>
        <d v="2023-01-23T00:00:00"/>
        <d v="2023-10-10T00:00:00"/>
        <d v="2025-03-28T00:00:00"/>
        <d v="2025-04-10T00:00:00"/>
        <d v="2023-05-14T00:00:00"/>
        <d v="2025-10-17T00:00:00"/>
        <d v="2023-03-17T00:00:00"/>
        <d v="2025-08-25T00:00:00"/>
        <d v="2024-03-10T00:00:00"/>
        <d v="2024-05-17T00:00:00"/>
        <d v="2023-04-08T00:00:00"/>
        <d v="2023-09-24T00:00:00"/>
        <d v="2023-07-27T00:00:00"/>
        <d v="2026-05-14T00:00:00"/>
        <d v="2023-12-13T00:00:00"/>
        <d v="2025-02-06T00:00:00"/>
        <d v="2023-05-31T00:00:00"/>
        <d v="2026-07-01T00:00:00"/>
        <d v="2025-04-06T00:00:00"/>
        <d v="2023-01-25T00:00:00"/>
        <d v="2023-08-13T00:00:00"/>
        <d v="2023-08-03T00:00:00"/>
        <d v="2023-10-21T00:00:00"/>
        <d v="2026-02-16T00:00:00"/>
        <d v="2026-08-05T00:00:00"/>
        <d v="2025-03-15T00:00:00"/>
        <d v="2023-08-18T00:00:00"/>
        <d v="2026-02-25T00:00:00"/>
        <d v="2024-11-05T00:00:00"/>
        <d v="2024-11-08T00:00:00"/>
        <d v="2023-03-12T00:00:00"/>
        <d v="2026-03-31T00:00:00"/>
        <d v="2026-07-12T00:00:00"/>
        <d v="2025-10-26T00:00:00"/>
        <d v="2023-05-29T00:00:00"/>
        <d v="2026-06-08T00:00:00"/>
        <d v="2025-01-30T00:00:00"/>
        <d v="2023-07-01T00:00:00"/>
        <d v="2023-03-07T00:00:00"/>
        <d v="2024-05-14T00:00:00"/>
        <d v="2025-05-29T00:00:00"/>
        <d v="2023-05-04T00:00:00"/>
        <d v="2024-12-14T00:00:00"/>
        <d v="2025-03-02T00:00:00"/>
        <d v="2026-07-23T00:00:00"/>
        <d v="2023-06-05T00:00:00"/>
        <d v="2023-09-08T00:00:00"/>
        <d v="2024-02-26T00:00:00"/>
        <d v="2025-02-17T00:00:00"/>
        <d v="2026-02-20T00:00:00"/>
        <d v="2024-05-13T00:00:00"/>
        <d v="2025-07-24T00:00:00"/>
        <d v="2024-02-22T00:00:00"/>
        <d v="2026-08-02T00:00:00"/>
        <d v="2026-04-08T00:00:00"/>
        <d v="2023-11-02T00:00:00"/>
        <d v="2026-01-16T00:00:00"/>
        <d v="2023-01-05T00:00:00"/>
        <d v="2023-01-21T00:00:00"/>
        <d v="2023-03-01T00:00:00"/>
        <d v="2025-06-23T00:00:00"/>
        <d v="2026-01-10T00:00:00"/>
        <d v="2026-01-23T00:00:00"/>
        <d v="2023-03-16T00:00:00"/>
        <d v="2024-02-01T00:00:00"/>
        <d v="2023-06-04T00:00:00"/>
        <d v="2025-12-12T00:00:00"/>
        <d v="2024-07-12T00:00:00"/>
        <d v="2025-09-07T00:00:00"/>
        <d v="2024-10-24T00:00:00"/>
        <d v="2023-06-16T00:00:00"/>
        <d v="2024-07-15T00:00:00"/>
        <d v="2024-01-31T00:00:00"/>
        <d v="2023-08-04T00:00:00"/>
        <d v="2023-03-31T00:00:00"/>
        <d v="2025-05-31T00:00:00"/>
        <d v="2025-04-25T00:00:00"/>
        <d v="2026-04-16T00:00:00"/>
        <d v="2023-05-09T00:00:00"/>
        <d v="2025-09-24T00:00:00"/>
        <d v="2024-11-12T00:00:00"/>
        <d v="2025-08-23T00:00:00"/>
        <d v="2023-02-16T00:00:00"/>
        <d v="2024-05-25T00:00:00"/>
        <d v="2023-04-20T00:00:00"/>
        <d v="2023-05-06T00:00:00"/>
        <d v="2025-06-06T00:00:00"/>
        <d v="2024-02-08T00:00:00"/>
        <d v="2023-09-22T00:00:00"/>
        <d v="2026-04-20T00:00:00"/>
        <d v="2024-12-26T00:00:00"/>
        <d v="2024-04-06T00:00:00"/>
        <d v="2023-04-18T00:00:00"/>
        <d v="2026-06-06T00:00:00"/>
        <d v="2024-07-13T00:00:00"/>
        <d v="2025-02-24T00:00:00"/>
        <d v="2026-07-03T00:00:00"/>
        <d v="2024-03-31T00:00:00"/>
        <d v="2023-12-28T00:00:00"/>
        <d v="2026-04-07T00:00:00"/>
        <d v="2023-12-12T00:00:00"/>
        <d v="2025-07-30T00:00:00"/>
        <d v="2023-12-06T00:00:00"/>
        <d v="2025-08-21T00:00:00"/>
        <d v="2025-05-19T00:00:00"/>
        <d v="2025-05-28T00:00:00"/>
        <d v="2025-09-19T00:00:00"/>
        <d v="2023-10-07T00:00:00"/>
        <d v="2024-07-14T00:00:00"/>
        <d v="2024-10-12T00:00:00"/>
        <d v="2024-03-06T00:00:00"/>
        <d v="2024-07-25T00:00:00"/>
        <d v="2023-09-04T00:00:00"/>
        <d v="2025-04-29T00:00:00"/>
        <d v="2025-05-01T00:00:00"/>
        <d v="2025-12-15T00:00:00"/>
        <d v="2023-06-20T00:00:00"/>
        <d v="2026-07-18T00:00:00"/>
        <d v="2025-01-28T00:00:00"/>
        <d v="2025-02-03T00:00:00"/>
        <d v="2023-06-18T00:00:00"/>
        <d v="2026-03-13T00:00:00"/>
        <d v="2026-08-04T00:00:00"/>
        <d v="2023-04-30T00:00:00"/>
        <d v="2024-07-21T00:00:00"/>
        <d v="2025-07-26T00:00:00"/>
        <d v="2024-12-31T00:00:00"/>
        <d v="2026-02-22T00:00:00"/>
        <d v="2023-02-24T00:00:00"/>
        <d v="2024-09-15T00:00:00"/>
        <d v="2026-02-14T00:00:00"/>
        <d v="2025-08-17T00:00:00"/>
        <d v="2025-05-30T00:00:00"/>
        <d v="2025-08-27T00:00:00"/>
        <d v="2025-01-25T00:00:00"/>
        <d v="2026-06-24T00:00:00"/>
        <d v="2025-07-31T00:00:00"/>
        <d v="2023-04-12T00:00:00"/>
        <d v="2026-01-22T00:00:00"/>
        <d v="2023-09-13T00:00:00"/>
        <d v="2023-10-22T00:00:00"/>
        <d v="2024-06-19T00:00:00"/>
        <d v="2024-02-09T00:00:00"/>
        <d v="2025-12-20T00:00:00"/>
        <d v="2024-10-11T00:00:00"/>
        <d v="2024-06-26T00:00:00"/>
        <d v="2025-04-03T00:00:00"/>
        <d v="2024-04-03T00:00:00"/>
        <d v="2025-02-20T00:00:00"/>
        <d v="2023-08-12T00:00:00"/>
        <d v="2025-08-19T00:00:00"/>
        <d v="2024-10-17T00:00:00"/>
        <d v="2023-11-21T00:00:00"/>
        <d v="2024-01-15T00:00:00"/>
        <d v="2025-07-20T00:00:00"/>
        <d v="2024-03-07T00:00:00"/>
        <d v="2026-02-23T00:00:00"/>
        <d v="2025-11-26T00:00:00"/>
        <d v="2026-07-10T00:00:00"/>
        <d v="2024-11-18T00:00:00"/>
        <d v="2023-09-15T00:00:00"/>
        <d v="2026-03-18T00:00:00"/>
        <d v="2024-05-02T00:00:00"/>
        <d v="2023-01-28T00:00:00"/>
        <d v="2025-07-03T00:00:00"/>
        <d v="2023-03-29T00:00:00"/>
        <d v="2024-04-22T00:00:00"/>
        <d v="2026-02-19T00:00:00"/>
        <d v="2026-07-14T00:00:00"/>
        <d v="2024-02-04T00:00:00"/>
        <d v="2026-08-21T00:00:00"/>
        <d v="2025-04-30T00:00:00"/>
        <d v="2024-06-20T00:00:00"/>
        <d v="2025-05-15T00:00:00"/>
        <d v="2024-02-05T00:00:00"/>
        <d v="2025-06-30T00:00:00"/>
        <d v="2024-09-19T00:00:00"/>
        <d v="2024-07-09T00:00:00"/>
        <d v="2025-01-23T00:00:00"/>
        <d v="2024-06-22T00:00:00"/>
        <d v="2024-08-20T00:00:00"/>
        <d v="2024-07-04T00:00:00"/>
        <d v="2026-02-15T00:00:00"/>
        <d v="2025-01-05T00:00:00"/>
        <d v="2023-06-28T00:00:00"/>
        <d v="2024-11-30T00:00:00"/>
        <d v="2025-12-04T00:00:00"/>
        <d v="2023-12-14T00:00:00"/>
        <d v="2024-05-15T00:00:00"/>
        <d v="2024-11-06T00:00:00"/>
        <d v="2024-08-27T00:00:00"/>
        <d v="2024-10-23T00:00:00"/>
        <d v="2026-08-26T00:00:00"/>
        <d v="2024-03-23T00:00:00"/>
        <d v="2026-03-27T00:00:00"/>
        <d v="2024-05-09T00:00:00"/>
        <d v="2026-01-05T00:00:00"/>
        <d v="2023-01-17T00:00:00"/>
        <d v="2025-06-14T00:00:00"/>
        <d v="2024-01-05T00:00:00"/>
        <d v="2024-02-15T00:00:00"/>
        <d v="2024-08-05T00:00:00"/>
        <d v="2023-09-17T00:00:00"/>
        <d v="2025-02-21T00:00:00"/>
        <d v="2024-07-27T00:00:00"/>
        <d v="2024-03-13T00:00:00"/>
        <d v="2023-11-18T00:00:00"/>
        <d v="2023-06-22T00:00:00"/>
        <d v="2023-11-23T00:00:00"/>
        <d v="2023-05-01T00:00:00"/>
        <d v="2023-01-13T00:00:00"/>
        <d v="2024-06-08T00:00:00"/>
        <d v="2025-01-21T00:00:00"/>
        <d v="2024-04-08T00:00:00"/>
        <d v="2023-09-25T00:00:00"/>
        <d v="2026-02-06T00:00:00"/>
        <d v="2025-03-04T00:00:00"/>
        <d v="2024-08-28T00:00:00"/>
        <d v="2023-04-04T00:00:00"/>
        <d v="2023-09-01T00:00:00"/>
        <d v="2025-02-25T00:00:00"/>
        <d v="2025-01-06T00:00:00"/>
        <d v="2025-09-09T00:00:00"/>
        <d v="2024-06-01T00:00:00"/>
        <d v="2025-08-12T00:00:00"/>
        <d v="2024-10-20T00:00:00"/>
        <d v="2025-04-21T00:00:00"/>
        <d v="2026-05-16T00:00:00"/>
        <d v="2023-03-28T00:00:00"/>
        <d v="2026-07-30T00:00:00"/>
        <d v="2025-08-28T00:00:00"/>
        <d v="2024-09-11T00:00:00"/>
        <d v="2025-01-22T00:00:00"/>
        <d v="2023-05-10T00:00:00"/>
        <d v="2024-04-10T00:00:00"/>
        <d v="2026-06-22T00:00:00"/>
        <d v="2024-03-17T00:00:00"/>
        <d v="2023-07-17T00:00:00"/>
        <d v="2026-03-28T00:00:00"/>
        <d v="2023-10-28T00:00:00"/>
        <d v="2025-01-26T00:00:00"/>
        <d v="2025-04-18T00:00:00"/>
        <d v="2025-04-09T00:00:00"/>
        <d v="2023-10-01T00:00:00"/>
        <d v="2024-08-06T00:00:00"/>
        <d v="2024-06-18T00:00:00"/>
        <d v="2025-03-03T00:00:00"/>
        <d v="2026-01-29T00:00:00"/>
        <d v="2025-06-07T00:00:00"/>
        <d v="2023-05-25T00:00:00"/>
        <d v="2024-04-28T00:00:00"/>
        <d v="2025-10-22T00:00:00"/>
        <d v="2023-07-06T00:00:00"/>
        <d v="2024-09-29T00:00:00"/>
        <d v="2024-05-30T00:00:00"/>
        <d v="2023-05-23T00:00:00"/>
        <d v="2023-08-25T00:00:00"/>
        <d v="2023-04-28T00:00:00"/>
        <d v="2024-12-05T00:00:00"/>
        <d v="2024-02-02T00:00:00"/>
        <d v="2026-03-09T00:00:00"/>
        <d v="2024-03-20T00:00:00"/>
        <d v="2025-04-24T00:00:00"/>
        <d v="2023-02-14T00:00:00"/>
        <d v="2025-09-11T00:00:00"/>
        <d v="2025-02-22T00:00:00"/>
        <d v="2026-07-04T00:00:00"/>
        <d v="2023-09-20T00:00:00"/>
        <d v="2024-11-04T00:00:00"/>
        <d v="2024-02-14T00:00:00"/>
        <d v="2025-06-18T00:00:00"/>
        <d v="2024-01-25T00:00:00"/>
        <d v="2024-03-30T00:00:00"/>
        <d v="2024-03-19T00:00:00"/>
        <d v="2025-01-24T00:00:00"/>
        <d v="2024-07-17T00:00:00"/>
        <d v="2025-05-23T00:00:00"/>
        <d v="2023-04-27T00:00:00"/>
        <d v="2026-05-20T00:00:00"/>
        <d v="2026-06-09T00:00:00"/>
        <d v="2025-03-18T00:00:00"/>
        <d v="2023-12-07T00:00:00"/>
        <d v="2023-08-08T00:00:00"/>
        <d v="2026-06-21T00:00:00"/>
        <d v="2026-04-03T00:00:00"/>
        <d v="2024-06-16T00:00:00"/>
        <d v="2023-01-27T00:00:00"/>
        <d v="2024-04-01T00:00:00"/>
        <d v="2025-03-16T00:00:00"/>
        <d v="2026-03-16T00:00:00"/>
        <d v="2024-07-26T00:00:00"/>
        <d v="2024-01-04T00:00:00"/>
        <d v="2025-02-28T00:00:00"/>
        <d v="2025-11-17T00:00:00"/>
        <d v="2024-07-05T00:00:00"/>
        <d v="2023-10-03T00:00:00"/>
        <d v="2025-03-29T00:00:00"/>
        <d v="2024-04-21T00:00:00"/>
        <d v="2023-07-14T00:00:00"/>
        <d v="2025-03-05T00:00:00"/>
        <d v="2024-03-03T00:00:00"/>
        <d v="2025-09-13T00:00:00"/>
        <d v="2025-07-29T00:00:00"/>
        <d v="2024-12-03T00:00:00"/>
        <d v="2024-06-13T00:00:00"/>
        <d v="2023-03-18T00:00:00"/>
        <d v="2025-01-17T00:00:00"/>
        <d v="2024-08-31T00:00:00"/>
        <d v="2025-10-23T00:00:00"/>
        <d v="2024-09-17T00:00:00"/>
        <d v="2023-05-08T00:00:00"/>
        <d v="2023-03-10T00:00:00"/>
        <d v="2026-03-11T00:00:00"/>
        <d v="2024-07-28T00:00:00"/>
        <d v="2023-05-22T00:00:00"/>
        <d v="2024-03-18T00:00:00"/>
        <d v="2026-06-19T00:00:00"/>
      </sharedItems>
      <fieldGroup par="9"/>
    </cacheField>
    <cacheField name="Due Date" numFmtId="14">
      <sharedItems containsSemiMixedTypes="0" containsNonDate="0" containsDate="1" containsString="0" minDate="2023-02-03T00:00:00" maxDate="2026-09-28T00:00:00"/>
    </cacheField>
    <cacheField name="Invoice Amount" numFmtId="43">
      <sharedItems containsSemiMixedTypes="0" containsString="0" containsNumber="1" minValue="1000.3" maxValue="49922.91"/>
    </cacheField>
    <cacheField name="Status" numFmtId="0">
      <sharedItems containsBlank="1" count="3">
        <s v="Paid"/>
        <s v="Unpaid"/>
        <m u="1"/>
      </sharedItems>
    </cacheField>
    <cacheField name="Credit Terms(Days)" numFmtId="0">
      <sharedItems containsSemiMixedTypes="0" containsString="0" containsNumber="1" containsInteger="1" minValue="30" maxValue="30"/>
    </cacheField>
    <cacheField name="Days Overdue" numFmtId="0">
      <sharedItems containsSemiMixedTypes="0" containsString="0" containsNumber="1" containsInteger="1" minValue="0" maxValue="1320"/>
    </cacheField>
    <cacheField name="Aging Category" numFmtId="0">
      <sharedItems count="5">
        <s v="Paid"/>
        <s v="90+"/>
        <s v="1-30"/>
        <s v="61-90"/>
        <s v="31-60"/>
      </sharedItems>
    </cacheField>
    <cacheField name="Years (Invoice Date)" numFmtId="0" databaseField="0">
      <fieldGroup base="2">
        <rangePr groupBy="years" startDate="2023-01-04T00:00:00" endDate="2026-08-29T00:00:00"/>
        <groupItems count="6">
          <s v="&lt;1/4/2023"/>
          <s v="2023"/>
          <s v="2024"/>
          <s v="2025"/>
          <s v="2026"/>
          <s v="&gt;8/29/2026"/>
        </groupItems>
      </fieldGroup>
    </cacheField>
  </cacheFields>
  <extLst>
    <ext xmlns:x14="http://schemas.microsoft.com/office/spreadsheetml/2009/9/main" uri="{725AE2AE-9491-48be-B2B4-4EB974FC3084}">
      <x14:pivotCacheDefinition pivotCacheId="43622622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d v="2024-03-30T00:00:00"/>
    <n v="34713.660000000003"/>
    <x v="0"/>
    <n v="30"/>
    <n v="0"/>
    <x v="0"/>
  </r>
  <r>
    <x v="1"/>
    <x v="1"/>
    <x v="1"/>
    <d v="2024-10-28T00:00:00"/>
    <n v="8057.16"/>
    <x v="0"/>
    <n v="30"/>
    <n v="0"/>
    <x v="0"/>
  </r>
  <r>
    <x v="2"/>
    <x v="2"/>
    <x v="2"/>
    <d v="2024-01-23T00:00:00"/>
    <n v="29347.119999999999"/>
    <x v="0"/>
    <n v="30"/>
    <n v="0"/>
    <x v="0"/>
  </r>
  <r>
    <x v="3"/>
    <x v="3"/>
    <x v="3"/>
    <d v="2025-05-17T00:00:00"/>
    <n v="39456.660000000003"/>
    <x v="0"/>
    <n v="30"/>
    <n v="0"/>
    <x v="0"/>
  </r>
  <r>
    <x v="4"/>
    <x v="4"/>
    <x v="4"/>
    <d v="2023-09-20T00:00:00"/>
    <n v="39821.57"/>
    <x v="0"/>
    <n v="30"/>
    <n v="0"/>
    <x v="0"/>
  </r>
  <r>
    <x v="5"/>
    <x v="3"/>
    <x v="5"/>
    <d v="2025-02-11T00:00:00"/>
    <n v="32333.46"/>
    <x v="0"/>
    <n v="30"/>
    <n v="0"/>
    <x v="0"/>
  </r>
  <r>
    <x v="6"/>
    <x v="2"/>
    <x v="6"/>
    <d v="2023-05-17T00:00:00"/>
    <n v="1849.96"/>
    <x v="0"/>
    <n v="30"/>
    <n v="0"/>
    <x v="0"/>
  </r>
  <r>
    <x v="7"/>
    <x v="0"/>
    <x v="7"/>
    <d v="2026-01-20T00:00:00"/>
    <n v="46639.41"/>
    <x v="0"/>
    <n v="30"/>
    <n v="0"/>
    <x v="0"/>
  </r>
  <r>
    <x v="8"/>
    <x v="3"/>
    <x v="8"/>
    <d v="2026-08-01T00:00:00"/>
    <n v="39972.6"/>
    <x v="0"/>
    <n v="30"/>
    <n v="0"/>
    <x v="0"/>
  </r>
  <r>
    <x v="9"/>
    <x v="1"/>
    <x v="9"/>
    <d v="2025-01-23T00:00:00"/>
    <n v="49580.959999999999"/>
    <x v="0"/>
    <n v="30"/>
    <n v="0"/>
    <x v="0"/>
  </r>
  <r>
    <x v="10"/>
    <x v="2"/>
    <x v="10"/>
    <d v="2025-07-25T00:00:00"/>
    <n v="22943.82"/>
    <x v="1"/>
    <n v="30"/>
    <n v="417"/>
    <x v="1"/>
  </r>
  <r>
    <x v="11"/>
    <x v="3"/>
    <x v="11"/>
    <d v="2024-11-27T00:00:00"/>
    <n v="32105.71"/>
    <x v="0"/>
    <n v="30"/>
    <n v="0"/>
    <x v="0"/>
  </r>
  <r>
    <x v="12"/>
    <x v="2"/>
    <x v="12"/>
    <d v="2024-08-07T00:00:00"/>
    <n v="35940.04"/>
    <x v="0"/>
    <n v="30"/>
    <n v="0"/>
    <x v="0"/>
  </r>
  <r>
    <x v="13"/>
    <x v="3"/>
    <x v="13"/>
    <d v="2026-09-13T00:00:00"/>
    <n v="19584.03"/>
    <x v="0"/>
    <n v="30"/>
    <n v="0"/>
    <x v="0"/>
  </r>
  <r>
    <x v="14"/>
    <x v="4"/>
    <x v="14"/>
    <d v="2023-02-03T00:00:00"/>
    <n v="9293.06"/>
    <x v="0"/>
    <n v="30"/>
    <n v="0"/>
    <x v="0"/>
  </r>
  <r>
    <x v="15"/>
    <x v="4"/>
    <x v="15"/>
    <d v="2025-10-27T00:00:00"/>
    <n v="29759.1"/>
    <x v="0"/>
    <n v="30"/>
    <n v="0"/>
    <x v="0"/>
  </r>
  <r>
    <x v="16"/>
    <x v="3"/>
    <x v="16"/>
    <d v="2023-07-02T00:00:00"/>
    <n v="45611.11"/>
    <x v="0"/>
    <n v="30"/>
    <n v="0"/>
    <x v="0"/>
  </r>
  <r>
    <x v="17"/>
    <x v="1"/>
    <x v="17"/>
    <d v="2024-10-09T00:00:00"/>
    <n v="13052.06"/>
    <x v="1"/>
    <n v="30"/>
    <n v="706"/>
    <x v="1"/>
  </r>
  <r>
    <x v="18"/>
    <x v="2"/>
    <x v="18"/>
    <d v="2024-02-20T00:00:00"/>
    <n v="43409.96"/>
    <x v="0"/>
    <n v="30"/>
    <n v="0"/>
    <x v="0"/>
  </r>
  <r>
    <x v="19"/>
    <x v="4"/>
    <x v="19"/>
    <d v="2023-11-10T00:00:00"/>
    <n v="4120.41"/>
    <x v="0"/>
    <n v="30"/>
    <n v="0"/>
    <x v="0"/>
  </r>
  <r>
    <x v="20"/>
    <x v="2"/>
    <x v="20"/>
    <d v="2024-03-17T00:00:00"/>
    <n v="19167.099999999999"/>
    <x v="0"/>
    <n v="30"/>
    <n v="0"/>
    <x v="0"/>
  </r>
  <r>
    <x v="21"/>
    <x v="3"/>
    <x v="21"/>
    <d v="2025-08-24T00:00:00"/>
    <n v="11033.18"/>
    <x v="0"/>
    <n v="30"/>
    <n v="0"/>
    <x v="0"/>
  </r>
  <r>
    <x v="22"/>
    <x v="2"/>
    <x v="22"/>
    <d v="2024-06-11T00:00:00"/>
    <n v="14944.65"/>
    <x v="0"/>
    <n v="30"/>
    <n v="0"/>
    <x v="0"/>
  </r>
  <r>
    <x v="23"/>
    <x v="4"/>
    <x v="23"/>
    <d v="2026-06-20T00:00:00"/>
    <n v="33778.47"/>
    <x v="0"/>
    <n v="30"/>
    <n v="0"/>
    <x v="0"/>
  </r>
  <r>
    <x v="24"/>
    <x v="1"/>
    <x v="24"/>
    <d v="2024-06-21T00:00:00"/>
    <n v="25788.71"/>
    <x v="0"/>
    <n v="30"/>
    <n v="0"/>
    <x v="0"/>
  </r>
  <r>
    <x v="25"/>
    <x v="4"/>
    <x v="25"/>
    <d v="2023-03-10T00:00:00"/>
    <n v="5877.35"/>
    <x v="0"/>
    <n v="30"/>
    <n v="0"/>
    <x v="0"/>
  </r>
  <r>
    <x v="26"/>
    <x v="3"/>
    <x v="26"/>
    <d v="2026-04-09T00:00:00"/>
    <n v="49922.91"/>
    <x v="0"/>
    <n v="30"/>
    <n v="0"/>
    <x v="0"/>
  </r>
  <r>
    <x v="27"/>
    <x v="1"/>
    <x v="27"/>
    <d v="2026-08-21T00:00:00"/>
    <n v="32289.46"/>
    <x v="0"/>
    <n v="30"/>
    <n v="0"/>
    <x v="0"/>
  </r>
  <r>
    <x v="28"/>
    <x v="4"/>
    <x v="28"/>
    <d v="2025-10-01T00:00:00"/>
    <n v="29725"/>
    <x v="0"/>
    <n v="30"/>
    <n v="0"/>
    <x v="0"/>
  </r>
  <r>
    <x v="29"/>
    <x v="2"/>
    <x v="29"/>
    <d v="2026-09-09T00:00:00"/>
    <n v="41974.94"/>
    <x v="1"/>
    <n v="30"/>
    <n v="6"/>
    <x v="2"/>
  </r>
  <r>
    <x v="30"/>
    <x v="1"/>
    <x v="30"/>
    <d v="2025-12-28T00:00:00"/>
    <n v="17813.939999999999"/>
    <x v="1"/>
    <n v="30"/>
    <n v="261"/>
    <x v="1"/>
  </r>
  <r>
    <x v="31"/>
    <x v="0"/>
    <x v="31"/>
    <d v="2023-03-14T00:00:00"/>
    <n v="6812.06"/>
    <x v="0"/>
    <n v="30"/>
    <n v="0"/>
    <x v="0"/>
  </r>
  <r>
    <x v="32"/>
    <x v="2"/>
    <x v="32"/>
    <d v="2026-01-17T00:00:00"/>
    <n v="37878.339999999997"/>
    <x v="0"/>
    <n v="30"/>
    <n v="0"/>
    <x v="0"/>
  </r>
  <r>
    <x v="33"/>
    <x v="0"/>
    <x v="33"/>
    <d v="2026-01-29T00:00:00"/>
    <n v="45970.18"/>
    <x v="0"/>
    <n v="30"/>
    <n v="0"/>
    <x v="0"/>
  </r>
  <r>
    <x v="34"/>
    <x v="0"/>
    <x v="34"/>
    <d v="2024-10-02T00:00:00"/>
    <n v="11999.71"/>
    <x v="0"/>
    <n v="30"/>
    <n v="0"/>
    <x v="0"/>
  </r>
  <r>
    <x v="35"/>
    <x v="0"/>
    <x v="35"/>
    <d v="2023-11-01T00:00:00"/>
    <n v="34359.019999999997"/>
    <x v="0"/>
    <n v="30"/>
    <n v="0"/>
    <x v="0"/>
  </r>
  <r>
    <x v="36"/>
    <x v="0"/>
    <x v="36"/>
    <d v="2025-03-09T00:00:00"/>
    <n v="41960.95"/>
    <x v="0"/>
    <n v="30"/>
    <n v="0"/>
    <x v="0"/>
  </r>
  <r>
    <x v="37"/>
    <x v="0"/>
    <x v="37"/>
    <d v="2023-09-06T00:00:00"/>
    <n v="4124.3900000000003"/>
    <x v="0"/>
    <n v="30"/>
    <n v="0"/>
    <x v="0"/>
  </r>
  <r>
    <x v="38"/>
    <x v="0"/>
    <x v="38"/>
    <d v="2026-09-10T00:00:00"/>
    <n v="6119.13"/>
    <x v="0"/>
    <n v="30"/>
    <n v="0"/>
    <x v="0"/>
  </r>
  <r>
    <x v="39"/>
    <x v="0"/>
    <x v="39"/>
    <d v="2025-06-24T00:00:00"/>
    <n v="28415.47"/>
    <x v="0"/>
    <n v="30"/>
    <n v="0"/>
    <x v="0"/>
  </r>
  <r>
    <x v="40"/>
    <x v="1"/>
    <x v="40"/>
    <d v="2023-08-25T00:00:00"/>
    <n v="25914.52"/>
    <x v="1"/>
    <n v="30"/>
    <n v="1117"/>
    <x v="1"/>
  </r>
  <r>
    <x v="41"/>
    <x v="1"/>
    <x v="41"/>
    <d v="2024-12-29T00:00:00"/>
    <n v="16486.060000000001"/>
    <x v="0"/>
    <n v="30"/>
    <n v="0"/>
    <x v="0"/>
  </r>
  <r>
    <x v="42"/>
    <x v="4"/>
    <x v="42"/>
    <d v="2025-04-21T00:00:00"/>
    <n v="2453.1"/>
    <x v="0"/>
    <n v="30"/>
    <n v="0"/>
    <x v="0"/>
  </r>
  <r>
    <x v="43"/>
    <x v="1"/>
    <x v="43"/>
    <d v="2026-08-27T00:00:00"/>
    <n v="49537.33"/>
    <x v="0"/>
    <n v="30"/>
    <n v="0"/>
    <x v="0"/>
  </r>
  <r>
    <x v="44"/>
    <x v="2"/>
    <x v="44"/>
    <d v="2024-02-26T00:00:00"/>
    <n v="46366.51"/>
    <x v="0"/>
    <n v="30"/>
    <n v="0"/>
    <x v="0"/>
  </r>
  <r>
    <x v="45"/>
    <x v="2"/>
    <x v="45"/>
    <d v="2023-03-27T00:00:00"/>
    <n v="5460.51"/>
    <x v="0"/>
    <n v="30"/>
    <n v="0"/>
    <x v="0"/>
  </r>
  <r>
    <x v="46"/>
    <x v="1"/>
    <x v="46"/>
    <d v="2025-06-05T00:00:00"/>
    <n v="21966.3"/>
    <x v="0"/>
    <n v="30"/>
    <n v="0"/>
    <x v="0"/>
  </r>
  <r>
    <x v="47"/>
    <x v="4"/>
    <x v="47"/>
    <d v="2023-02-10T00:00:00"/>
    <n v="32211.68"/>
    <x v="0"/>
    <n v="30"/>
    <n v="0"/>
    <x v="0"/>
  </r>
  <r>
    <x v="48"/>
    <x v="1"/>
    <x v="48"/>
    <d v="2024-06-28T00:00:00"/>
    <n v="14997.12"/>
    <x v="0"/>
    <n v="30"/>
    <n v="0"/>
    <x v="0"/>
  </r>
  <r>
    <x v="49"/>
    <x v="0"/>
    <x v="49"/>
    <d v="2023-06-14T00:00:00"/>
    <n v="41874.639999999999"/>
    <x v="0"/>
    <n v="30"/>
    <n v="0"/>
    <x v="0"/>
  </r>
  <r>
    <x v="50"/>
    <x v="0"/>
    <x v="50"/>
    <d v="2025-04-29T00:00:00"/>
    <n v="44805.65"/>
    <x v="0"/>
    <n v="30"/>
    <n v="0"/>
    <x v="0"/>
  </r>
  <r>
    <x v="51"/>
    <x v="1"/>
    <x v="51"/>
    <d v="2025-11-09T00:00:00"/>
    <n v="16725.88"/>
    <x v="0"/>
    <n v="30"/>
    <n v="0"/>
    <x v="0"/>
  </r>
  <r>
    <x v="52"/>
    <x v="2"/>
    <x v="52"/>
    <d v="2023-12-03T00:00:00"/>
    <n v="20922.86"/>
    <x v="0"/>
    <n v="30"/>
    <n v="0"/>
    <x v="0"/>
  </r>
  <r>
    <x v="53"/>
    <x v="2"/>
    <x v="53"/>
    <d v="2024-03-20T00:00:00"/>
    <n v="34791.730000000003"/>
    <x v="0"/>
    <n v="30"/>
    <n v="0"/>
    <x v="0"/>
  </r>
  <r>
    <x v="54"/>
    <x v="4"/>
    <x v="54"/>
    <d v="2023-10-27T00:00:00"/>
    <n v="16963.650000000001"/>
    <x v="1"/>
    <n v="30"/>
    <n v="1054"/>
    <x v="1"/>
  </r>
  <r>
    <x v="55"/>
    <x v="4"/>
    <x v="55"/>
    <d v="2025-04-11T00:00:00"/>
    <n v="18326.060000000001"/>
    <x v="0"/>
    <n v="30"/>
    <n v="0"/>
    <x v="0"/>
  </r>
  <r>
    <x v="56"/>
    <x v="3"/>
    <x v="56"/>
    <d v="2024-10-14T00:00:00"/>
    <n v="36132.42"/>
    <x v="0"/>
    <n v="30"/>
    <n v="0"/>
    <x v="0"/>
  </r>
  <r>
    <x v="57"/>
    <x v="2"/>
    <x v="57"/>
    <d v="2024-07-30T00:00:00"/>
    <n v="22439.35"/>
    <x v="0"/>
    <n v="30"/>
    <n v="0"/>
    <x v="0"/>
  </r>
  <r>
    <x v="58"/>
    <x v="2"/>
    <x v="58"/>
    <d v="2026-01-02T00:00:00"/>
    <n v="34548.39"/>
    <x v="0"/>
    <n v="30"/>
    <n v="0"/>
    <x v="0"/>
  </r>
  <r>
    <x v="59"/>
    <x v="4"/>
    <x v="59"/>
    <d v="2025-11-05T00:00:00"/>
    <n v="29837.72"/>
    <x v="0"/>
    <n v="30"/>
    <n v="0"/>
    <x v="0"/>
  </r>
  <r>
    <x v="60"/>
    <x v="4"/>
    <x v="60"/>
    <d v="2023-08-14T00:00:00"/>
    <n v="46880.5"/>
    <x v="0"/>
    <n v="30"/>
    <n v="0"/>
    <x v="0"/>
  </r>
  <r>
    <x v="61"/>
    <x v="0"/>
    <x v="61"/>
    <d v="2025-02-13T00:00:00"/>
    <n v="33208.99"/>
    <x v="1"/>
    <n v="30"/>
    <n v="579"/>
    <x v="1"/>
  </r>
  <r>
    <x v="62"/>
    <x v="1"/>
    <x v="62"/>
    <d v="2025-06-04T00:00:00"/>
    <n v="28615.94"/>
    <x v="1"/>
    <n v="30"/>
    <n v="468"/>
    <x v="1"/>
  </r>
  <r>
    <x v="63"/>
    <x v="3"/>
    <x v="63"/>
    <d v="2023-03-04T00:00:00"/>
    <n v="40818.629999999997"/>
    <x v="0"/>
    <n v="30"/>
    <n v="0"/>
    <x v="0"/>
  </r>
  <r>
    <x v="64"/>
    <x v="4"/>
    <x v="64"/>
    <d v="2024-11-28T00:00:00"/>
    <n v="17119.55"/>
    <x v="1"/>
    <n v="30"/>
    <n v="656"/>
    <x v="1"/>
  </r>
  <r>
    <x v="65"/>
    <x v="4"/>
    <x v="65"/>
    <d v="2025-06-03T00:00:00"/>
    <n v="38865.42"/>
    <x v="0"/>
    <n v="30"/>
    <n v="0"/>
    <x v="0"/>
  </r>
  <r>
    <x v="66"/>
    <x v="0"/>
    <x v="66"/>
    <d v="2023-11-08T00:00:00"/>
    <n v="26069.65"/>
    <x v="1"/>
    <n v="30"/>
    <n v="1042"/>
    <x v="1"/>
  </r>
  <r>
    <x v="67"/>
    <x v="2"/>
    <x v="67"/>
    <d v="2025-08-12T00:00:00"/>
    <n v="4582.6099999999997"/>
    <x v="0"/>
    <n v="30"/>
    <n v="0"/>
    <x v="0"/>
  </r>
  <r>
    <x v="68"/>
    <x v="2"/>
    <x v="68"/>
    <d v="2025-01-15T00:00:00"/>
    <n v="40171.47"/>
    <x v="0"/>
    <n v="30"/>
    <n v="0"/>
    <x v="0"/>
  </r>
  <r>
    <x v="69"/>
    <x v="0"/>
    <x v="69"/>
    <d v="2024-04-28T00:00:00"/>
    <n v="42951.17"/>
    <x v="0"/>
    <n v="30"/>
    <n v="0"/>
    <x v="0"/>
  </r>
  <r>
    <x v="70"/>
    <x v="1"/>
    <x v="70"/>
    <d v="2023-08-23T00:00:00"/>
    <n v="32777.29"/>
    <x v="0"/>
    <n v="30"/>
    <n v="0"/>
    <x v="0"/>
  </r>
  <r>
    <x v="71"/>
    <x v="3"/>
    <x v="71"/>
    <d v="2023-04-13T00:00:00"/>
    <n v="2135.6999999999998"/>
    <x v="0"/>
    <n v="30"/>
    <n v="0"/>
    <x v="0"/>
  </r>
  <r>
    <x v="72"/>
    <x v="2"/>
    <x v="72"/>
    <d v="2024-05-09T00:00:00"/>
    <n v="4423.12"/>
    <x v="0"/>
    <n v="30"/>
    <n v="0"/>
    <x v="0"/>
  </r>
  <r>
    <x v="73"/>
    <x v="4"/>
    <x v="73"/>
    <d v="2025-03-12T00:00:00"/>
    <n v="30249.41"/>
    <x v="0"/>
    <n v="30"/>
    <n v="0"/>
    <x v="0"/>
  </r>
  <r>
    <x v="74"/>
    <x v="2"/>
    <x v="74"/>
    <d v="2023-02-13T00:00:00"/>
    <n v="39644.43"/>
    <x v="1"/>
    <n v="30"/>
    <n v="1310"/>
    <x v="1"/>
  </r>
  <r>
    <x v="75"/>
    <x v="0"/>
    <x v="75"/>
    <d v="2026-01-31T00:00:00"/>
    <n v="24592.86"/>
    <x v="0"/>
    <n v="30"/>
    <n v="0"/>
    <x v="0"/>
  </r>
  <r>
    <x v="76"/>
    <x v="1"/>
    <x v="76"/>
    <d v="2026-07-28T00:00:00"/>
    <n v="30813.83"/>
    <x v="0"/>
    <n v="30"/>
    <n v="0"/>
    <x v="0"/>
  </r>
  <r>
    <x v="77"/>
    <x v="2"/>
    <x v="77"/>
    <d v="2023-02-19T00:00:00"/>
    <n v="33016.089999999997"/>
    <x v="0"/>
    <n v="30"/>
    <n v="0"/>
    <x v="0"/>
  </r>
  <r>
    <x v="78"/>
    <x v="3"/>
    <x v="78"/>
    <d v="2024-02-02T00:00:00"/>
    <n v="47702.47"/>
    <x v="0"/>
    <n v="30"/>
    <n v="0"/>
    <x v="0"/>
  </r>
  <r>
    <x v="79"/>
    <x v="0"/>
    <x v="79"/>
    <d v="2023-07-24T00:00:00"/>
    <n v="36031.46"/>
    <x v="0"/>
    <n v="30"/>
    <n v="0"/>
    <x v="0"/>
  </r>
  <r>
    <x v="80"/>
    <x v="3"/>
    <x v="80"/>
    <d v="2024-05-30T00:00:00"/>
    <n v="12853.33"/>
    <x v="1"/>
    <n v="30"/>
    <n v="838"/>
    <x v="1"/>
  </r>
  <r>
    <x v="81"/>
    <x v="0"/>
    <x v="81"/>
    <d v="2026-05-23T00:00:00"/>
    <n v="11129.82"/>
    <x v="0"/>
    <n v="30"/>
    <n v="0"/>
    <x v="0"/>
  </r>
  <r>
    <x v="82"/>
    <x v="2"/>
    <x v="82"/>
    <d v="2025-03-25T00:00:00"/>
    <n v="2392.31"/>
    <x v="0"/>
    <n v="30"/>
    <n v="0"/>
    <x v="0"/>
  </r>
  <r>
    <x v="83"/>
    <x v="0"/>
    <x v="83"/>
    <d v="2026-05-12T00:00:00"/>
    <n v="35714.629999999997"/>
    <x v="0"/>
    <n v="30"/>
    <n v="0"/>
    <x v="0"/>
  </r>
  <r>
    <x v="84"/>
    <x v="0"/>
    <x v="84"/>
    <d v="2025-10-28T00:00:00"/>
    <n v="34793.71"/>
    <x v="0"/>
    <n v="30"/>
    <n v="0"/>
    <x v="0"/>
  </r>
  <r>
    <x v="85"/>
    <x v="2"/>
    <x v="85"/>
    <d v="2026-07-23T00:00:00"/>
    <n v="22293.01"/>
    <x v="0"/>
    <n v="30"/>
    <n v="0"/>
    <x v="0"/>
  </r>
  <r>
    <x v="86"/>
    <x v="4"/>
    <x v="86"/>
    <d v="2026-04-18T00:00:00"/>
    <n v="27844.07"/>
    <x v="0"/>
    <n v="30"/>
    <n v="0"/>
    <x v="0"/>
  </r>
  <r>
    <x v="87"/>
    <x v="3"/>
    <x v="87"/>
    <d v="2026-09-27T00:00:00"/>
    <n v="31517.360000000001"/>
    <x v="0"/>
    <n v="30"/>
    <n v="0"/>
    <x v="0"/>
  </r>
  <r>
    <x v="88"/>
    <x v="1"/>
    <x v="88"/>
    <d v="2026-07-10T00:00:00"/>
    <n v="4842.54"/>
    <x v="1"/>
    <n v="30"/>
    <n v="67"/>
    <x v="3"/>
  </r>
  <r>
    <x v="89"/>
    <x v="0"/>
    <x v="89"/>
    <d v="2025-07-19T00:00:00"/>
    <n v="23152.080000000002"/>
    <x v="1"/>
    <n v="30"/>
    <n v="423"/>
    <x v="1"/>
  </r>
  <r>
    <x v="90"/>
    <x v="0"/>
    <x v="90"/>
    <d v="2025-08-01T00:00:00"/>
    <n v="20323.05"/>
    <x v="0"/>
    <n v="30"/>
    <n v="0"/>
    <x v="0"/>
  </r>
  <r>
    <x v="91"/>
    <x v="0"/>
    <x v="91"/>
    <d v="2024-12-31T00:00:00"/>
    <n v="22925.759999999998"/>
    <x v="0"/>
    <n v="30"/>
    <n v="0"/>
    <x v="0"/>
  </r>
  <r>
    <x v="92"/>
    <x v="2"/>
    <x v="71"/>
    <d v="2023-04-13T00:00:00"/>
    <n v="46613.14"/>
    <x v="0"/>
    <n v="30"/>
    <n v="0"/>
    <x v="0"/>
  </r>
  <r>
    <x v="93"/>
    <x v="4"/>
    <x v="92"/>
    <d v="2024-09-16T00:00:00"/>
    <n v="34370.58"/>
    <x v="0"/>
    <n v="30"/>
    <n v="0"/>
    <x v="0"/>
  </r>
  <r>
    <x v="94"/>
    <x v="1"/>
    <x v="91"/>
    <d v="2024-12-31T00:00:00"/>
    <n v="12095.84"/>
    <x v="0"/>
    <n v="30"/>
    <n v="0"/>
    <x v="0"/>
  </r>
  <r>
    <x v="95"/>
    <x v="4"/>
    <x v="93"/>
    <d v="2026-09-18T00:00:00"/>
    <n v="18993.95"/>
    <x v="0"/>
    <n v="30"/>
    <n v="0"/>
    <x v="0"/>
  </r>
  <r>
    <x v="96"/>
    <x v="4"/>
    <x v="94"/>
    <d v="2025-05-11T00:00:00"/>
    <n v="16657.87"/>
    <x v="0"/>
    <n v="30"/>
    <n v="0"/>
    <x v="0"/>
  </r>
  <r>
    <x v="97"/>
    <x v="2"/>
    <x v="95"/>
    <d v="2026-06-28T00:00:00"/>
    <n v="24148.86"/>
    <x v="0"/>
    <n v="30"/>
    <n v="0"/>
    <x v="0"/>
  </r>
  <r>
    <x v="98"/>
    <x v="2"/>
    <x v="96"/>
    <d v="2025-05-23T00:00:00"/>
    <n v="29198.25"/>
    <x v="0"/>
    <n v="30"/>
    <n v="0"/>
    <x v="0"/>
  </r>
  <r>
    <x v="99"/>
    <x v="4"/>
    <x v="97"/>
    <d v="2025-11-02T00:00:00"/>
    <n v="13688.32"/>
    <x v="0"/>
    <n v="30"/>
    <n v="0"/>
    <x v="0"/>
  </r>
  <r>
    <x v="100"/>
    <x v="2"/>
    <x v="98"/>
    <d v="2024-10-06T00:00:00"/>
    <n v="49606.76"/>
    <x v="0"/>
    <n v="30"/>
    <n v="0"/>
    <x v="0"/>
  </r>
  <r>
    <x v="101"/>
    <x v="2"/>
    <x v="99"/>
    <d v="2025-11-14T00:00:00"/>
    <n v="43086.83"/>
    <x v="0"/>
    <n v="30"/>
    <n v="0"/>
    <x v="0"/>
  </r>
  <r>
    <x v="102"/>
    <x v="1"/>
    <x v="100"/>
    <d v="2023-02-22T00:00:00"/>
    <n v="39061.230000000003"/>
    <x v="1"/>
    <n v="30"/>
    <n v="1301"/>
    <x v="1"/>
  </r>
  <r>
    <x v="103"/>
    <x v="3"/>
    <x v="101"/>
    <d v="2023-11-09T00:00:00"/>
    <n v="5864.85"/>
    <x v="0"/>
    <n v="30"/>
    <n v="0"/>
    <x v="0"/>
  </r>
  <r>
    <x v="104"/>
    <x v="3"/>
    <x v="102"/>
    <d v="2025-04-27T00:00:00"/>
    <n v="35890.32"/>
    <x v="0"/>
    <n v="30"/>
    <n v="0"/>
    <x v="0"/>
  </r>
  <r>
    <x v="105"/>
    <x v="4"/>
    <x v="103"/>
    <d v="2025-05-10T00:00:00"/>
    <n v="25095.86"/>
    <x v="0"/>
    <n v="30"/>
    <n v="0"/>
    <x v="0"/>
  </r>
  <r>
    <x v="106"/>
    <x v="2"/>
    <x v="104"/>
    <d v="2023-06-13T00:00:00"/>
    <n v="38508.86"/>
    <x v="0"/>
    <n v="30"/>
    <n v="0"/>
    <x v="0"/>
  </r>
  <r>
    <x v="107"/>
    <x v="0"/>
    <x v="105"/>
    <d v="2025-11-16T00:00:00"/>
    <n v="18855.55"/>
    <x v="0"/>
    <n v="30"/>
    <n v="0"/>
    <x v="0"/>
  </r>
  <r>
    <x v="108"/>
    <x v="4"/>
    <x v="106"/>
    <d v="2023-04-16T00:00:00"/>
    <n v="26742.7"/>
    <x v="0"/>
    <n v="30"/>
    <n v="0"/>
    <x v="0"/>
  </r>
  <r>
    <x v="109"/>
    <x v="0"/>
    <x v="107"/>
    <d v="2025-09-24T00:00:00"/>
    <n v="22968.84"/>
    <x v="0"/>
    <n v="30"/>
    <n v="0"/>
    <x v="0"/>
  </r>
  <r>
    <x v="110"/>
    <x v="0"/>
    <x v="108"/>
    <d v="2024-04-09T00:00:00"/>
    <n v="12607.8"/>
    <x v="1"/>
    <n v="30"/>
    <n v="889"/>
    <x v="1"/>
  </r>
  <r>
    <x v="111"/>
    <x v="4"/>
    <x v="109"/>
    <d v="2024-06-16T00:00:00"/>
    <n v="31976.52"/>
    <x v="0"/>
    <n v="30"/>
    <n v="0"/>
    <x v="0"/>
  </r>
  <r>
    <x v="112"/>
    <x v="4"/>
    <x v="110"/>
    <d v="2023-05-08T00:00:00"/>
    <n v="1146.3"/>
    <x v="0"/>
    <n v="30"/>
    <n v="0"/>
    <x v="0"/>
  </r>
  <r>
    <x v="113"/>
    <x v="3"/>
    <x v="111"/>
    <d v="2023-10-24T00:00:00"/>
    <n v="41026.9"/>
    <x v="0"/>
    <n v="30"/>
    <n v="0"/>
    <x v="0"/>
  </r>
  <r>
    <x v="114"/>
    <x v="1"/>
    <x v="112"/>
    <d v="2023-08-26T00:00:00"/>
    <n v="20238.07"/>
    <x v="0"/>
    <n v="30"/>
    <n v="0"/>
    <x v="0"/>
  </r>
  <r>
    <x v="115"/>
    <x v="2"/>
    <x v="113"/>
    <d v="2026-06-13T00:00:00"/>
    <n v="5545.39"/>
    <x v="0"/>
    <n v="30"/>
    <n v="0"/>
    <x v="0"/>
  </r>
  <r>
    <x v="116"/>
    <x v="3"/>
    <x v="114"/>
    <d v="2024-01-12T00:00:00"/>
    <n v="20633.37"/>
    <x v="0"/>
    <n v="30"/>
    <n v="0"/>
    <x v="0"/>
  </r>
  <r>
    <x v="117"/>
    <x v="0"/>
    <x v="44"/>
    <d v="2024-02-26T00:00:00"/>
    <n v="22556.01"/>
    <x v="0"/>
    <n v="30"/>
    <n v="0"/>
    <x v="0"/>
  </r>
  <r>
    <x v="118"/>
    <x v="1"/>
    <x v="115"/>
    <d v="2025-03-08T00:00:00"/>
    <n v="37028.83"/>
    <x v="0"/>
    <n v="30"/>
    <n v="0"/>
    <x v="0"/>
  </r>
  <r>
    <x v="119"/>
    <x v="3"/>
    <x v="116"/>
    <d v="2023-06-30T00:00:00"/>
    <n v="46070.94"/>
    <x v="0"/>
    <n v="30"/>
    <n v="0"/>
    <x v="0"/>
  </r>
  <r>
    <x v="120"/>
    <x v="1"/>
    <x v="117"/>
    <d v="2026-07-31T00:00:00"/>
    <n v="16524.330000000002"/>
    <x v="0"/>
    <n v="30"/>
    <n v="0"/>
    <x v="0"/>
  </r>
  <r>
    <x v="121"/>
    <x v="0"/>
    <x v="118"/>
    <d v="2025-05-06T00:00:00"/>
    <n v="11858.49"/>
    <x v="0"/>
    <n v="30"/>
    <n v="0"/>
    <x v="0"/>
  </r>
  <r>
    <x v="122"/>
    <x v="3"/>
    <x v="119"/>
    <d v="2023-02-24T00:00:00"/>
    <n v="6418.07"/>
    <x v="0"/>
    <n v="30"/>
    <n v="0"/>
    <x v="0"/>
  </r>
  <r>
    <x v="123"/>
    <x v="3"/>
    <x v="82"/>
    <d v="2025-03-25T00:00:00"/>
    <n v="46078.8"/>
    <x v="0"/>
    <n v="30"/>
    <n v="0"/>
    <x v="0"/>
  </r>
  <r>
    <x v="124"/>
    <x v="2"/>
    <x v="120"/>
    <d v="2023-09-12T00:00:00"/>
    <n v="3421.68"/>
    <x v="1"/>
    <n v="30"/>
    <n v="1099"/>
    <x v="1"/>
  </r>
  <r>
    <x v="125"/>
    <x v="2"/>
    <x v="121"/>
    <d v="2023-09-02T00:00:00"/>
    <n v="14705.95"/>
    <x v="0"/>
    <n v="30"/>
    <n v="0"/>
    <x v="0"/>
  </r>
  <r>
    <x v="126"/>
    <x v="2"/>
    <x v="122"/>
    <d v="2023-11-20T00:00:00"/>
    <n v="49320.33"/>
    <x v="0"/>
    <n v="30"/>
    <n v="0"/>
    <x v="0"/>
  </r>
  <r>
    <x v="127"/>
    <x v="1"/>
    <x v="63"/>
    <d v="2023-03-04T00:00:00"/>
    <n v="46441.36"/>
    <x v="0"/>
    <n v="30"/>
    <n v="0"/>
    <x v="0"/>
  </r>
  <r>
    <x v="128"/>
    <x v="2"/>
    <x v="123"/>
    <d v="2026-03-18T00:00:00"/>
    <n v="32527.86"/>
    <x v="0"/>
    <n v="30"/>
    <n v="0"/>
    <x v="0"/>
  </r>
  <r>
    <x v="129"/>
    <x v="4"/>
    <x v="124"/>
    <d v="2026-09-04T00:00:00"/>
    <n v="47343.58"/>
    <x v="0"/>
    <n v="30"/>
    <n v="0"/>
    <x v="0"/>
  </r>
  <r>
    <x v="130"/>
    <x v="4"/>
    <x v="125"/>
    <d v="2025-04-14T00:00:00"/>
    <n v="18171.66"/>
    <x v="1"/>
    <n v="30"/>
    <n v="519"/>
    <x v="1"/>
  </r>
  <r>
    <x v="131"/>
    <x v="4"/>
    <x v="126"/>
    <d v="2023-09-17T00:00:00"/>
    <n v="6875.16"/>
    <x v="0"/>
    <n v="30"/>
    <n v="0"/>
    <x v="0"/>
  </r>
  <r>
    <x v="132"/>
    <x v="1"/>
    <x v="127"/>
    <d v="2026-03-27T00:00:00"/>
    <n v="30911.13"/>
    <x v="0"/>
    <n v="30"/>
    <n v="0"/>
    <x v="0"/>
  </r>
  <r>
    <x v="133"/>
    <x v="0"/>
    <x v="128"/>
    <d v="2024-12-05T00:00:00"/>
    <n v="4915.9799999999996"/>
    <x v="0"/>
    <n v="30"/>
    <n v="0"/>
    <x v="0"/>
  </r>
  <r>
    <x v="134"/>
    <x v="3"/>
    <x v="129"/>
    <d v="2024-12-08T00:00:00"/>
    <n v="32298.61"/>
    <x v="0"/>
    <n v="30"/>
    <n v="0"/>
    <x v="0"/>
  </r>
  <r>
    <x v="135"/>
    <x v="3"/>
    <x v="130"/>
    <d v="2023-04-11T00:00:00"/>
    <n v="33970.910000000003"/>
    <x v="0"/>
    <n v="30"/>
    <n v="0"/>
    <x v="0"/>
  </r>
  <r>
    <x v="136"/>
    <x v="4"/>
    <x v="131"/>
    <d v="2026-04-30T00:00:00"/>
    <n v="26614.68"/>
    <x v="0"/>
    <n v="30"/>
    <n v="0"/>
    <x v="0"/>
  </r>
  <r>
    <x v="137"/>
    <x v="1"/>
    <x v="132"/>
    <d v="2026-08-11T00:00:00"/>
    <n v="6796.51"/>
    <x v="0"/>
    <n v="30"/>
    <n v="0"/>
    <x v="0"/>
  </r>
  <r>
    <x v="138"/>
    <x v="1"/>
    <x v="133"/>
    <d v="2025-11-25T00:00:00"/>
    <n v="24834.6"/>
    <x v="0"/>
    <n v="30"/>
    <n v="0"/>
    <x v="0"/>
  </r>
  <r>
    <x v="139"/>
    <x v="3"/>
    <x v="134"/>
    <d v="2023-06-28T00:00:00"/>
    <n v="13097.76"/>
    <x v="0"/>
    <n v="30"/>
    <n v="0"/>
    <x v="0"/>
  </r>
  <r>
    <x v="140"/>
    <x v="2"/>
    <x v="135"/>
    <d v="2026-07-08T00:00:00"/>
    <n v="47514.41"/>
    <x v="0"/>
    <n v="30"/>
    <n v="0"/>
    <x v="0"/>
  </r>
  <r>
    <x v="141"/>
    <x v="1"/>
    <x v="136"/>
    <d v="2025-03-01T00:00:00"/>
    <n v="20119.900000000001"/>
    <x v="0"/>
    <n v="30"/>
    <n v="0"/>
    <x v="0"/>
  </r>
  <r>
    <x v="142"/>
    <x v="2"/>
    <x v="137"/>
    <d v="2023-07-31T00:00:00"/>
    <n v="5020.83"/>
    <x v="0"/>
    <n v="30"/>
    <n v="0"/>
    <x v="0"/>
  </r>
  <r>
    <x v="143"/>
    <x v="3"/>
    <x v="138"/>
    <d v="2023-04-06T00:00:00"/>
    <n v="15253.54"/>
    <x v="0"/>
    <n v="30"/>
    <n v="0"/>
    <x v="0"/>
  </r>
  <r>
    <x v="144"/>
    <x v="0"/>
    <x v="139"/>
    <d v="2024-06-13T00:00:00"/>
    <n v="45071.69"/>
    <x v="0"/>
    <n v="30"/>
    <n v="0"/>
    <x v="0"/>
  </r>
  <r>
    <x v="145"/>
    <x v="1"/>
    <x v="140"/>
    <d v="2025-06-28T00:00:00"/>
    <n v="28848.85"/>
    <x v="0"/>
    <n v="30"/>
    <n v="0"/>
    <x v="0"/>
  </r>
  <r>
    <x v="146"/>
    <x v="3"/>
    <x v="141"/>
    <d v="2023-06-03T00:00:00"/>
    <n v="20658.580000000002"/>
    <x v="1"/>
    <n v="30"/>
    <n v="1200"/>
    <x v="1"/>
  </r>
  <r>
    <x v="147"/>
    <x v="0"/>
    <x v="142"/>
    <d v="2025-01-13T00:00:00"/>
    <n v="11072.53"/>
    <x v="0"/>
    <n v="30"/>
    <n v="0"/>
    <x v="0"/>
  </r>
  <r>
    <x v="148"/>
    <x v="0"/>
    <x v="143"/>
    <d v="2025-04-01T00:00:00"/>
    <n v="9129.56"/>
    <x v="0"/>
    <n v="30"/>
    <n v="0"/>
    <x v="0"/>
  </r>
  <r>
    <x v="149"/>
    <x v="1"/>
    <x v="144"/>
    <d v="2026-08-22T00:00:00"/>
    <n v="44607.96"/>
    <x v="0"/>
    <n v="30"/>
    <n v="0"/>
    <x v="0"/>
  </r>
  <r>
    <x v="150"/>
    <x v="0"/>
    <x v="145"/>
    <d v="2023-07-05T00:00:00"/>
    <n v="36288.22"/>
    <x v="0"/>
    <n v="30"/>
    <n v="0"/>
    <x v="0"/>
  </r>
  <r>
    <x v="151"/>
    <x v="2"/>
    <x v="146"/>
    <d v="2023-10-08T00:00:00"/>
    <n v="32328.35"/>
    <x v="0"/>
    <n v="30"/>
    <n v="0"/>
    <x v="0"/>
  </r>
  <r>
    <x v="152"/>
    <x v="3"/>
    <x v="147"/>
    <d v="2024-03-27T00:00:00"/>
    <n v="31227.02"/>
    <x v="0"/>
    <n v="30"/>
    <n v="0"/>
    <x v="0"/>
  </r>
  <r>
    <x v="153"/>
    <x v="3"/>
    <x v="148"/>
    <d v="2025-03-19T00:00:00"/>
    <n v="45865.15"/>
    <x v="0"/>
    <n v="30"/>
    <n v="0"/>
    <x v="0"/>
  </r>
  <r>
    <x v="154"/>
    <x v="2"/>
    <x v="149"/>
    <d v="2026-03-22T00:00:00"/>
    <n v="8508.76"/>
    <x v="0"/>
    <n v="30"/>
    <n v="0"/>
    <x v="0"/>
  </r>
  <r>
    <x v="155"/>
    <x v="0"/>
    <x v="150"/>
    <d v="2024-06-12T00:00:00"/>
    <n v="2185.2199999999998"/>
    <x v="0"/>
    <n v="30"/>
    <n v="0"/>
    <x v="0"/>
  </r>
  <r>
    <x v="156"/>
    <x v="0"/>
    <x v="151"/>
    <d v="2025-08-23T00:00:00"/>
    <n v="1476.24"/>
    <x v="0"/>
    <n v="30"/>
    <n v="0"/>
    <x v="0"/>
  </r>
  <r>
    <x v="157"/>
    <x v="4"/>
    <x v="152"/>
    <d v="2024-03-23T00:00:00"/>
    <n v="36836.949999999997"/>
    <x v="0"/>
    <n v="30"/>
    <n v="0"/>
    <x v="0"/>
  </r>
  <r>
    <x v="158"/>
    <x v="2"/>
    <x v="153"/>
    <d v="2026-09-01T00:00:00"/>
    <n v="36520.93"/>
    <x v="1"/>
    <n v="30"/>
    <n v="14"/>
    <x v="2"/>
  </r>
  <r>
    <x v="159"/>
    <x v="2"/>
    <x v="154"/>
    <d v="2026-05-08T00:00:00"/>
    <n v="2825.52"/>
    <x v="1"/>
    <n v="30"/>
    <n v="130"/>
    <x v="1"/>
  </r>
  <r>
    <x v="160"/>
    <x v="1"/>
    <x v="155"/>
    <d v="2023-12-02T00:00:00"/>
    <n v="32428.65"/>
    <x v="0"/>
    <n v="30"/>
    <n v="0"/>
    <x v="0"/>
  </r>
  <r>
    <x v="161"/>
    <x v="2"/>
    <x v="156"/>
    <d v="2026-02-15T00:00:00"/>
    <n v="9074.17"/>
    <x v="0"/>
    <n v="30"/>
    <n v="0"/>
    <x v="0"/>
  </r>
  <r>
    <x v="162"/>
    <x v="0"/>
    <x v="157"/>
    <d v="2023-02-04T00:00:00"/>
    <n v="12625.86"/>
    <x v="0"/>
    <n v="30"/>
    <n v="0"/>
    <x v="0"/>
  </r>
  <r>
    <x v="163"/>
    <x v="1"/>
    <x v="158"/>
    <d v="2023-02-20T00:00:00"/>
    <n v="37969.68"/>
    <x v="0"/>
    <n v="30"/>
    <n v="0"/>
    <x v="0"/>
  </r>
  <r>
    <x v="164"/>
    <x v="1"/>
    <x v="159"/>
    <d v="2023-03-31T00:00:00"/>
    <n v="7913.14"/>
    <x v="1"/>
    <n v="30"/>
    <n v="1264"/>
    <x v="1"/>
  </r>
  <r>
    <x v="165"/>
    <x v="4"/>
    <x v="160"/>
    <d v="2025-07-23T00:00:00"/>
    <n v="27720.01"/>
    <x v="0"/>
    <n v="30"/>
    <n v="0"/>
    <x v="0"/>
  </r>
  <r>
    <x v="166"/>
    <x v="0"/>
    <x v="161"/>
    <d v="2026-02-09T00:00:00"/>
    <n v="9342.0300000000007"/>
    <x v="0"/>
    <n v="30"/>
    <n v="0"/>
    <x v="0"/>
  </r>
  <r>
    <x v="167"/>
    <x v="1"/>
    <x v="162"/>
    <d v="2026-02-22T00:00:00"/>
    <n v="46326.67"/>
    <x v="0"/>
    <n v="30"/>
    <n v="0"/>
    <x v="0"/>
  </r>
  <r>
    <x v="168"/>
    <x v="3"/>
    <x v="163"/>
    <d v="2023-04-15T00:00:00"/>
    <n v="30561.49"/>
    <x v="0"/>
    <n v="30"/>
    <n v="0"/>
    <x v="0"/>
  </r>
  <r>
    <x v="169"/>
    <x v="1"/>
    <x v="164"/>
    <d v="2024-03-02T00:00:00"/>
    <n v="42242.75"/>
    <x v="0"/>
    <n v="30"/>
    <n v="0"/>
    <x v="0"/>
  </r>
  <r>
    <x v="170"/>
    <x v="4"/>
    <x v="165"/>
    <d v="2023-07-04T00:00:00"/>
    <n v="43284.13"/>
    <x v="0"/>
    <n v="30"/>
    <n v="0"/>
    <x v="0"/>
  </r>
  <r>
    <x v="171"/>
    <x v="4"/>
    <x v="166"/>
    <d v="2026-01-11T00:00:00"/>
    <n v="39391.61"/>
    <x v="0"/>
    <n v="30"/>
    <n v="0"/>
    <x v="0"/>
  </r>
  <r>
    <x v="172"/>
    <x v="0"/>
    <x v="167"/>
    <d v="2024-08-11T00:00:00"/>
    <n v="30318.65"/>
    <x v="0"/>
    <n v="30"/>
    <n v="0"/>
    <x v="0"/>
  </r>
  <r>
    <x v="173"/>
    <x v="2"/>
    <x v="168"/>
    <d v="2025-10-07T00:00:00"/>
    <n v="35183.35"/>
    <x v="0"/>
    <n v="30"/>
    <n v="0"/>
    <x v="0"/>
  </r>
  <r>
    <x v="174"/>
    <x v="4"/>
    <x v="169"/>
    <d v="2024-11-23T00:00:00"/>
    <n v="13643.07"/>
    <x v="0"/>
    <n v="30"/>
    <n v="0"/>
    <x v="0"/>
  </r>
  <r>
    <x v="175"/>
    <x v="0"/>
    <x v="170"/>
    <d v="2023-07-16T00:00:00"/>
    <n v="5545.36"/>
    <x v="0"/>
    <n v="30"/>
    <n v="0"/>
    <x v="0"/>
  </r>
  <r>
    <x v="176"/>
    <x v="3"/>
    <x v="171"/>
    <d v="2024-08-14T00:00:00"/>
    <n v="13056.06"/>
    <x v="0"/>
    <n v="30"/>
    <n v="0"/>
    <x v="0"/>
  </r>
  <r>
    <x v="177"/>
    <x v="0"/>
    <x v="172"/>
    <d v="2024-03-01T00:00:00"/>
    <n v="1018.29"/>
    <x v="1"/>
    <n v="30"/>
    <n v="928"/>
    <x v="1"/>
  </r>
  <r>
    <x v="178"/>
    <x v="2"/>
    <x v="173"/>
    <d v="2023-09-03T00:00:00"/>
    <n v="28416.75"/>
    <x v="1"/>
    <n v="30"/>
    <n v="1108"/>
    <x v="1"/>
  </r>
  <r>
    <x v="179"/>
    <x v="2"/>
    <x v="174"/>
    <d v="2023-04-30T00:00:00"/>
    <n v="40445.26"/>
    <x v="0"/>
    <n v="30"/>
    <n v="0"/>
    <x v="0"/>
  </r>
  <r>
    <x v="180"/>
    <x v="2"/>
    <x v="175"/>
    <d v="2025-06-30T00:00:00"/>
    <n v="29464.35"/>
    <x v="0"/>
    <n v="30"/>
    <n v="0"/>
    <x v="0"/>
  </r>
  <r>
    <x v="181"/>
    <x v="1"/>
    <x v="176"/>
    <d v="2025-05-25T00:00:00"/>
    <n v="9341.0499999999993"/>
    <x v="0"/>
    <n v="30"/>
    <n v="0"/>
    <x v="0"/>
  </r>
  <r>
    <x v="182"/>
    <x v="4"/>
    <x v="177"/>
    <d v="2026-05-16T00:00:00"/>
    <n v="39129.49"/>
    <x v="0"/>
    <n v="30"/>
    <n v="0"/>
    <x v="0"/>
  </r>
  <r>
    <x v="183"/>
    <x v="0"/>
    <x v="178"/>
    <d v="2023-06-08T00:00:00"/>
    <n v="16468.689999999999"/>
    <x v="1"/>
    <n v="30"/>
    <n v="1195"/>
    <x v="1"/>
  </r>
  <r>
    <x v="184"/>
    <x v="4"/>
    <x v="179"/>
    <d v="2025-10-24T00:00:00"/>
    <n v="4546.5200000000004"/>
    <x v="1"/>
    <n v="30"/>
    <n v="326"/>
    <x v="1"/>
  </r>
  <r>
    <x v="185"/>
    <x v="2"/>
    <x v="180"/>
    <d v="2024-12-12T00:00:00"/>
    <n v="25044.16"/>
    <x v="0"/>
    <n v="30"/>
    <n v="0"/>
    <x v="0"/>
  </r>
  <r>
    <x v="186"/>
    <x v="4"/>
    <x v="181"/>
    <d v="2025-09-22T00:00:00"/>
    <n v="14900.95"/>
    <x v="0"/>
    <n v="30"/>
    <n v="0"/>
    <x v="0"/>
  </r>
  <r>
    <x v="187"/>
    <x v="2"/>
    <x v="182"/>
    <d v="2023-03-18T00:00:00"/>
    <n v="11520.43"/>
    <x v="0"/>
    <n v="30"/>
    <n v="0"/>
    <x v="0"/>
  </r>
  <r>
    <x v="188"/>
    <x v="0"/>
    <x v="183"/>
    <d v="2024-06-24T00:00:00"/>
    <n v="4103.5600000000004"/>
    <x v="0"/>
    <n v="30"/>
    <n v="0"/>
    <x v="0"/>
  </r>
  <r>
    <x v="189"/>
    <x v="1"/>
    <x v="184"/>
    <d v="2023-05-20T00:00:00"/>
    <n v="34098.47"/>
    <x v="0"/>
    <n v="30"/>
    <n v="0"/>
    <x v="0"/>
  </r>
  <r>
    <x v="190"/>
    <x v="4"/>
    <x v="176"/>
    <d v="2025-05-25T00:00:00"/>
    <n v="17404.919999999998"/>
    <x v="0"/>
    <n v="30"/>
    <n v="0"/>
    <x v="0"/>
  </r>
  <r>
    <x v="191"/>
    <x v="0"/>
    <x v="185"/>
    <d v="2023-06-05T00:00:00"/>
    <n v="41821.040000000001"/>
    <x v="1"/>
    <n v="30"/>
    <n v="1198"/>
    <x v="1"/>
  </r>
  <r>
    <x v="192"/>
    <x v="0"/>
    <x v="186"/>
    <d v="2025-07-06T00:00:00"/>
    <n v="25676.26"/>
    <x v="1"/>
    <n v="30"/>
    <n v="436"/>
    <x v="1"/>
  </r>
  <r>
    <x v="193"/>
    <x v="0"/>
    <x v="187"/>
    <d v="2024-03-09T00:00:00"/>
    <n v="25853.73"/>
    <x v="1"/>
    <n v="30"/>
    <n v="920"/>
    <x v="1"/>
  </r>
  <r>
    <x v="194"/>
    <x v="4"/>
    <x v="188"/>
    <d v="2023-10-22T00:00:00"/>
    <n v="44682.69"/>
    <x v="1"/>
    <n v="30"/>
    <n v="1059"/>
    <x v="1"/>
  </r>
  <r>
    <x v="195"/>
    <x v="4"/>
    <x v="189"/>
    <d v="2026-05-20T00:00:00"/>
    <n v="4569.01"/>
    <x v="1"/>
    <n v="30"/>
    <n v="118"/>
    <x v="1"/>
  </r>
  <r>
    <x v="196"/>
    <x v="4"/>
    <x v="190"/>
    <d v="2025-01-25T00:00:00"/>
    <n v="29622.17"/>
    <x v="0"/>
    <n v="30"/>
    <n v="0"/>
    <x v="0"/>
  </r>
  <r>
    <x v="197"/>
    <x v="2"/>
    <x v="58"/>
    <d v="2026-01-02T00:00:00"/>
    <n v="19922.330000000002"/>
    <x v="0"/>
    <n v="30"/>
    <n v="0"/>
    <x v="0"/>
  </r>
  <r>
    <x v="198"/>
    <x v="3"/>
    <x v="191"/>
    <d v="2024-05-06T00:00:00"/>
    <n v="41728.74"/>
    <x v="0"/>
    <n v="30"/>
    <n v="0"/>
    <x v="0"/>
  </r>
  <r>
    <x v="199"/>
    <x v="4"/>
    <x v="192"/>
    <d v="2023-05-18T00:00:00"/>
    <n v="23110.94"/>
    <x v="1"/>
    <n v="30"/>
    <n v="1216"/>
    <x v="1"/>
  </r>
  <r>
    <x v="200"/>
    <x v="2"/>
    <x v="193"/>
    <d v="2026-07-06T00:00:00"/>
    <n v="32287.119999999999"/>
    <x v="0"/>
    <n v="30"/>
    <n v="0"/>
    <x v="0"/>
  </r>
  <r>
    <x v="201"/>
    <x v="4"/>
    <x v="194"/>
    <d v="2024-08-12T00:00:00"/>
    <n v="6324.6"/>
    <x v="1"/>
    <n v="30"/>
    <n v="764"/>
    <x v="1"/>
  </r>
  <r>
    <x v="202"/>
    <x v="3"/>
    <x v="195"/>
    <d v="2025-03-26T00:00:00"/>
    <n v="12868.95"/>
    <x v="0"/>
    <n v="30"/>
    <n v="0"/>
    <x v="0"/>
  </r>
  <r>
    <x v="203"/>
    <x v="0"/>
    <x v="196"/>
    <d v="2026-08-02T00:00:00"/>
    <n v="14590.43"/>
    <x v="0"/>
    <n v="30"/>
    <n v="0"/>
    <x v="0"/>
  </r>
  <r>
    <x v="204"/>
    <x v="2"/>
    <x v="197"/>
    <d v="2024-04-30T00:00:00"/>
    <n v="38092.75"/>
    <x v="1"/>
    <n v="30"/>
    <n v="868"/>
    <x v="1"/>
  </r>
  <r>
    <x v="205"/>
    <x v="2"/>
    <x v="133"/>
    <d v="2025-11-25T00:00:00"/>
    <n v="35012.980000000003"/>
    <x v="0"/>
    <n v="30"/>
    <n v="0"/>
    <x v="0"/>
  </r>
  <r>
    <x v="206"/>
    <x v="3"/>
    <x v="198"/>
    <d v="2024-01-27T00:00:00"/>
    <n v="36173.050000000003"/>
    <x v="0"/>
    <n v="30"/>
    <n v="0"/>
    <x v="0"/>
  </r>
  <r>
    <x v="207"/>
    <x v="2"/>
    <x v="102"/>
    <d v="2025-04-27T00:00:00"/>
    <n v="3288.8"/>
    <x v="0"/>
    <n v="30"/>
    <n v="0"/>
    <x v="0"/>
  </r>
  <r>
    <x v="208"/>
    <x v="4"/>
    <x v="199"/>
    <d v="2026-05-07T00:00:00"/>
    <n v="38922.879999999997"/>
    <x v="0"/>
    <n v="30"/>
    <n v="0"/>
    <x v="0"/>
  </r>
  <r>
    <x v="209"/>
    <x v="1"/>
    <x v="200"/>
    <d v="2024-01-11T00:00:00"/>
    <n v="18271.11"/>
    <x v="0"/>
    <n v="30"/>
    <n v="0"/>
    <x v="0"/>
  </r>
  <r>
    <x v="210"/>
    <x v="1"/>
    <x v="201"/>
    <d v="2025-08-29T00:00:00"/>
    <n v="17561.02"/>
    <x v="0"/>
    <n v="30"/>
    <n v="0"/>
    <x v="0"/>
  </r>
  <r>
    <x v="211"/>
    <x v="3"/>
    <x v="72"/>
    <d v="2024-05-09T00:00:00"/>
    <n v="30662.51"/>
    <x v="1"/>
    <n v="30"/>
    <n v="859"/>
    <x v="1"/>
  </r>
  <r>
    <x v="212"/>
    <x v="2"/>
    <x v="202"/>
    <d v="2024-01-05T00:00:00"/>
    <n v="48142.36"/>
    <x v="1"/>
    <n v="30"/>
    <n v="984"/>
    <x v="1"/>
  </r>
  <r>
    <x v="213"/>
    <x v="0"/>
    <x v="82"/>
    <d v="2025-03-25T00:00:00"/>
    <n v="24007.74"/>
    <x v="1"/>
    <n v="30"/>
    <n v="539"/>
    <x v="1"/>
  </r>
  <r>
    <x v="214"/>
    <x v="0"/>
    <x v="203"/>
    <d v="2025-09-20T00:00:00"/>
    <n v="35451.56"/>
    <x v="0"/>
    <n v="30"/>
    <n v="0"/>
    <x v="0"/>
  </r>
  <r>
    <x v="215"/>
    <x v="3"/>
    <x v="204"/>
    <d v="2025-06-18T00:00:00"/>
    <n v="29918.85"/>
    <x v="0"/>
    <n v="30"/>
    <n v="0"/>
    <x v="0"/>
  </r>
  <r>
    <x v="216"/>
    <x v="3"/>
    <x v="205"/>
    <d v="2025-06-27T00:00:00"/>
    <n v="36671.93"/>
    <x v="0"/>
    <n v="30"/>
    <n v="0"/>
    <x v="0"/>
  </r>
  <r>
    <x v="217"/>
    <x v="0"/>
    <x v="206"/>
    <d v="2025-10-19T00:00:00"/>
    <n v="36749.24"/>
    <x v="0"/>
    <n v="30"/>
    <n v="0"/>
    <x v="0"/>
  </r>
  <r>
    <x v="218"/>
    <x v="1"/>
    <x v="207"/>
    <d v="2023-11-06T00:00:00"/>
    <n v="44667.7"/>
    <x v="1"/>
    <n v="30"/>
    <n v="1044"/>
    <x v="1"/>
  </r>
  <r>
    <x v="219"/>
    <x v="0"/>
    <x v="4"/>
    <d v="2023-09-20T00:00:00"/>
    <n v="42783.5"/>
    <x v="1"/>
    <n v="30"/>
    <n v="1091"/>
    <x v="1"/>
  </r>
  <r>
    <x v="220"/>
    <x v="0"/>
    <x v="208"/>
    <d v="2024-08-13T00:00:00"/>
    <n v="42458.36"/>
    <x v="0"/>
    <n v="30"/>
    <n v="0"/>
    <x v="0"/>
  </r>
  <r>
    <x v="221"/>
    <x v="0"/>
    <x v="142"/>
    <d v="2025-01-13T00:00:00"/>
    <n v="43441.13"/>
    <x v="1"/>
    <n v="30"/>
    <n v="610"/>
    <x v="1"/>
  </r>
  <r>
    <x v="222"/>
    <x v="0"/>
    <x v="209"/>
    <d v="2024-11-11T00:00:00"/>
    <n v="31590.18"/>
    <x v="0"/>
    <n v="30"/>
    <n v="0"/>
    <x v="0"/>
  </r>
  <r>
    <x v="223"/>
    <x v="2"/>
    <x v="210"/>
    <d v="2024-04-05T00:00:00"/>
    <n v="9688.4"/>
    <x v="0"/>
    <n v="30"/>
    <n v="0"/>
    <x v="0"/>
  </r>
  <r>
    <x v="224"/>
    <x v="1"/>
    <x v="211"/>
    <d v="2024-08-24T00:00:00"/>
    <n v="46068.31"/>
    <x v="0"/>
    <n v="30"/>
    <n v="0"/>
    <x v="0"/>
  </r>
  <r>
    <x v="225"/>
    <x v="1"/>
    <x v="169"/>
    <d v="2024-11-23T00:00:00"/>
    <n v="25659.39"/>
    <x v="1"/>
    <n v="30"/>
    <n v="661"/>
    <x v="1"/>
  </r>
  <r>
    <x v="226"/>
    <x v="0"/>
    <x v="119"/>
    <d v="2023-02-24T00:00:00"/>
    <n v="9714.86"/>
    <x v="0"/>
    <n v="30"/>
    <n v="0"/>
    <x v="0"/>
  </r>
  <r>
    <x v="227"/>
    <x v="1"/>
    <x v="212"/>
    <d v="2023-10-04T00:00:00"/>
    <n v="16279.04"/>
    <x v="1"/>
    <n v="30"/>
    <n v="1077"/>
    <x v="1"/>
  </r>
  <r>
    <x v="228"/>
    <x v="3"/>
    <x v="213"/>
    <d v="2025-05-29T00:00:00"/>
    <n v="23348.05"/>
    <x v="0"/>
    <n v="30"/>
    <n v="0"/>
    <x v="0"/>
  </r>
  <r>
    <x v="229"/>
    <x v="4"/>
    <x v="91"/>
    <d v="2024-12-31T00:00:00"/>
    <n v="28755.279999999999"/>
    <x v="1"/>
    <n v="30"/>
    <n v="623"/>
    <x v="1"/>
  </r>
  <r>
    <x v="230"/>
    <x v="1"/>
    <x v="214"/>
    <d v="2025-05-31T00:00:00"/>
    <n v="33428.42"/>
    <x v="0"/>
    <n v="30"/>
    <n v="0"/>
    <x v="0"/>
  </r>
  <r>
    <x v="231"/>
    <x v="0"/>
    <x v="215"/>
    <d v="2026-01-14T00:00:00"/>
    <n v="23377.11"/>
    <x v="0"/>
    <n v="30"/>
    <n v="0"/>
    <x v="0"/>
  </r>
  <r>
    <x v="232"/>
    <x v="2"/>
    <x v="127"/>
    <d v="2026-03-27T00:00:00"/>
    <n v="33529.72"/>
    <x v="0"/>
    <n v="30"/>
    <n v="0"/>
    <x v="0"/>
  </r>
  <r>
    <x v="233"/>
    <x v="2"/>
    <x v="130"/>
    <d v="2023-04-11T00:00:00"/>
    <n v="48378.9"/>
    <x v="0"/>
    <n v="30"/>
    <n v="0"/>
    <x v="0"/>
  </r>
  <r>
    <x v="234"/>
    <x v="2"/>
    <x v="111"/>
    <d v="2023-10-24T00:00:00"/>
    <n v="42813.79"/>
    <x v="1"/>
    <n v="30"/>
    <n v="1057"/>
    <x v="1"/>
  </r>
  <r>
    <x v="235"/>
    <x v="2"/>
    <x v="216"/>
    <d v="2023-07-20T00:00:00"/>
    <n v="36903.18"/>
    <x v="1"/>
    <n v="30"/>
    <n v="1153"/>
    <x v="1"/>
  </r>
  <r>
    <x v="236"/>
    <x v="0"/>
    <x v="217"/>
    <d v="2026-08-17T00:00:00"/>
    <n v="28506.42"/>
    <x v="1"/>
    <n v="30"/>
    <n v="29"/>
    <x v="2"/>
  </r>
  <r>
    <x v="237"/>
    <x v="3"/>
    <x v="218"/>
    <d v="2025-02-27T00:00:00"/>
    <n v="29505.07"/>
    <x v="1"/>
    <n v="30"/>
    <n v="565"/>
    <x v="1"/>
  </r>
  <r>
    <x v="238"/>
    <x v="1"/>
    <x v="219"/>
    <d v="2025-03-05T00:00:00"/>
    <n v="34098.49"/>
    <x v="0"/>
    <n v="30"/>
    <n v="0"/>
    <x v="0"/>
  </r>
  <r>
    <x v="239"/>
    <x v="3"/>
    <x v="220"/>
    <d v="2023-07-18T00:00:00"/>
    <n v="16454.830000000002"/>
    <x v="0"/>
    <n v="30"/>
    <n v="0"/>
    <x v="0"/>
  </r>
  <r>
    <x v="240"/>
    <x v="2"/>
    <x v="221"/>
    <d v="2026-04-12T00:00:00"/>
    <n v="3049.69"/>
    <x v="0"/>
    <n v="30"/>
    <n v="0"/>
    <x v="0"/>
  </r>
  <r>
    <x v="241"/>
    <x v="0"/>
    <x v="222"/>
    <d v="2026-09-03T00:00:00"/>
    <n v="3593.55"/>
    <x v="0"/>
    <n v="30"/>
    <n v="0"/>
    <x v="0"/>
  </r>
  <r>
    <x v="242"/>
    <x v="4"/>
    <x v="223"/>
    <d v="2023-05-30T00:00:00"/>
    <n v="28194.16"/>
    <x v="0"/>
    <n v="30"/>
    <n v="0"/>
    <x v="0"/>
  </r>
  <r>
    <x v="243"/>
    <x v="1"/>
    <x v="224"/>
    <d v="2024-08-20T00:00:00"/>
    <n v="28704.080000000002"/>
    <x v="0"/>
    <n v="30"/>
    <n v="0"/>
    <x v="0"/>
  </r>
  <r>
    <x v="244"/>
    <x v="2"/>
    <x v="225"/>
    <d v="2025-08-25T00:00:00"/>
    <n v="1822.14"/>
    <x v="0"/>
    <n v="30"/>
    <n v="0"/>
    <x v="0"/>
  </r>
  <r>
    <x v="245"/>
    <x v="3"/>
    <x v="226"/>
    <d v="2025-01-30T00:00:00"/>
    <n v="20699.11"/>
    <x v="0"/>
    <n v="30"/>
    <n v="0"/>
    <x v="0"/>
  </r>
  <r>
    <x v="246"/>
    <x v="2"/>
    <x v="227"/>
    <d v="2026-03-24T00:00:00"/>
    <n v="46728.800000000003"/>
    <x v="0"/>
    <n v="30"/>
    <n v="0"/>
    <x v="0"/>
  </r>
  <r>
    <x v="247"/>
    <x v="3"/>
    <x v="228"/>
    <d v="2023-03-26T00:00:00"/>
    <n v="48482.77"/>
    <x v="0"/>
    <n v="30"/>
    <n v="0"/>
    <x v="0"/>
  </r>
  <r>
    <x v="248"/>
    <x v="3"/>
    <x v="27"/>
    <d v="2026-08-21T00:00:00"/>
    <n v="24982.58"/>
    <x v="0"/>
    <n v="30"/>
    <n v="0"/>
    <x v="0"/>
  </r>
  <r>
    <x v="249"/>
    <x v="1"/>
    <x v="229"/>
    <d v="2024-10-15T00:00:00"/>
    <n v="32713.42"/>
    <x v="0"/>
    <n v="30"/>
    <n v="0"/>
    <x v="0"/>
  </r>
  <r>
    <x v="250"/>
    <x v="4"/>
    <x v="230"/>
    <d v="2026-03-16T00:00:00"/>
    <n v="11211.53"/>
    <x v="0"/>
    <n v="30"/>
    <n v="0"/>
    <x v="0"/>
  </r>
  <r>
    <x v="251"/>
    <x v="0"/>
    <x v="231"/>
    <d v="2025-09-16T00:00:00"/>
    <n v="1000.3"/>
    <x v="0"/>
    <n v="30"/>
    <n v="0"/>
    <x v="0"/>
  </r>
  <r>
    <x v="252"/>
    <x v="1"/>
    <x v="232"/>
    <d v="2025-06-29T00:00:00"/>
    <n v="33193.31"/>
    <x v="0"/>
    <n v="30"/>
    <n v="0"/>
    <x v="0"/>
  </r>
  <r>
    <x v="253"/>
    <x v="2"/>
    <x v="233"/>
    <d v="2025-09-26T00:00:00"/>
    <n v="19927.900000000001"/>
    <x v="0"/>
    <n v="30"/>
    <n v="0"/>
    <x v="0"/>
  </r>
  <r>
    <x v="254"/>
    <x v="0"/>
    <x v="234"/>
    <d v="2025-02-24T00:00:00"/>
    <n v="17274.27"/>
    <x v="0"/>
    <n v="30"/>
    <n v="0"/>
    <x v="0"/>
  </r>
  <r>
    <x v="255"/>
    <x v="1"/>
    <x v="235"/>
    <d v="2026-07-24T00:00:00"/>
    <n v="13500.01"/>
    <x v="1"/>
    <n v="30"/>
    <n v="53"/>
    <x v="4"/>
  </r>
  <r>
    <x v="256"/>
    <x v="0"/>
    <x v="236"/>
    <d v="2025-08-30T00:00:00"/>
    <n v="33809.03"/>
    <x v="0"/>
    <n v="30"/>
    <n v="0"/>
    <x v="0"/>
  </r>
  <r>
    <x v="257"/>
    <x v="2"/>
    <x v="237"/>
    <d v="2023-05-12T00:00:00"/>
    <n v="1201.19"/>
    <x v="0"/>
    <n v="30"/>
    <n v="0"/>
    <x v="0"/>
  </r>
  <r>
    <x v="258"/>
    <x v="0"/>
    <x v="238"/>
    <d v="2026-02-21T00:00:00"/>
    <n v="1416.74"/>
    <x v="0"/>
    <n v="30"/>
    <n v="0"/>
    <x v="0"/>
  </r>
  <r>
    <x v="259"/>
    <x v="2"/>
    <x v="239"/>
    <d v="2023-10-13T00:00:00"/>
    <n v="43788.93"/>
    <x v="0"/>
    <n v="30"/>
    <n v="0"/>
    <x v="0"/>
  </r>
  <r>
    <x v="260"/>
    <x v="0"/>
    <x v="240"/>
    <d v="2023-11-21T00:00:00"/>
    <n v="30429.85"/>
    <x v="0"/>
    <n v="30"/>
    <n v="0"/>
    <x v="0"/>
  </r>
  <r>
    <x v="261"/>
    <x v="0"/>
    <x v="241"/>
    <d v="2024-07-19T00:00:00"/>
    <n v="43476.94"/>
    <x v="0"/>
    <n v="30"/>
    <n v="0"/>
    <x v="0"/>
  </r>
  <r>
    <x v="262"/>
    <x v="0"/>
    <x v="242"/>
    <d v="2024-03-10T00:00:00"/>
    <n v="22354.84"/>
    <x v="0"/>
    <n v="30"/>
    <n v="0"/>
    <x v="0"/>
  </r>
  <r>
    <x v="263"/>
    <x v="0"/>
    <x v="243"/>
    <d v="2026-01-19T00:00:00"/>
    <n v="33612.080000000002"/>
    <x v="0"/>
    <n v="30"/>
    <n v="0"/>
    <x v="0"/>
  </r>
  <r>
    <x v="264"/>
    <x v="3"/>
    <x v="244"/>
    <d v="2024-11-10T00:00:00"/>
    <n v="49496.4"/>
    <x v="0"/>
    <n v="30"/>
    <n v="0"/>
    <x v="0"/>
  </r>
  <r>
    <x v="265"/>
    <x v="1"/>
    <x v="245"/>
    <d v="2024-07-26T00:00:00"/>
    <n v="11377.28"/>
    <x v="0"/>
    <n v="30"/>
    <n v="0"/>
    <x v="0"/>
  </r>
  <r>
    <x v="266"/>
    <x v="1"/>
    <x v="232"/>
    <d v="2025-06-29T00:00:00"/>
    <n v="42332.15"/>
    <x v="0"/>
    <n v="30"/>
    <n v="0"/>
    <x v="0"/>
  </r>
  <r>
    <x v="267"/>
    <x v="0"/>
    <x v="246"/>
    <d v="2025-05-03T00:00:00"/>
    <n v="39973.199999999997"/>
    <x v="0"/>
    <n v="30"/>
    <n v="0"/>
    <x v="0"/>
  </r>
  <r>
    <x v="268"/>
    <x v="2"/>
    <x v="247"/>
    <d v="2024-05-03T00:00:00"/>
    <n v="15568.45"/>
    <x v="0"/>
    <n v="30"/>
    <n v="0"/>
    <x v="0"/>
  </r>
  <r>
    <x v="269"/>
    <x v="3"/>
    <x v="248"/>
    <d v="2025-03-22T00:00:00"/>
    <n v="12045.78"/>
    <x v="0"/>
    <n v="30"/>
    <n v="0"/>
    <x v="0"/>
  </r>
  <r>
    <x v="270"/>
    <x v="3"/>
    <x v="108"/>
    <d v="2024-04-09T00:00:00"/>
    <n v="33597.519999999997"/>
    <x v="0"/>
    <n v="30"/>
    <n v="0"/>
    <x v="0"/>
  </r>
  <r>
    <x v="271"/>
    <x v="4"/>
    <x v="64"/>
    <d v="2024-11-28T00:00:00"/>
    <n v="26700.57"/>
    <x v="0"/>
    <n v="30"/>
    <n v="0"/>
    <x v="0"/>
  </r>
  <r>
    <x v="272"/>
    <x v="2"/>
    <x v="249"/>
    <d v="2023-09-11T00:00:00"/>
    <n v="5281.82"/>
    <x v="0"/>
    <n v="30"/>
    <n v="0"/>
    <x v="0"/>
  </r>
  <r>
    <x v="273"/>
    <x v="0"/>
    <x v="250"/>
    <d v="2025-09-18T00:00:00"/>
    <n v="41876.01"/>
    <x v="0"/>
    <n v="30"/>
    <n v="0"/>
    <x v="0"/>
  </r>
  <r>
    <x v="274"/>
    <x v="0"/>
    <x v="251"/>
    <d v="2024-11-16T00:00:00"/>
    <n v="27535.279999999999"/>
    <x v="0"/>
    <n v="30"/>
    <n v="0"/>
    <x v="0"/>
  </r>
  <r>
    <x v="275"/>
    <x v="3"/>
    <x v="252"/>
    <d v="2023-12-21T00:00:00"/>
    <n v="40408.9"/>
    <x v="0"/>
    <n v="30"/>
    <n v="0"/>
    <x v="0"/>
  </r>
  <r>
    <x v="276"/>
    <x v="3"/>
    <x v="253"/>
    <d v="2024-02-14T00:00:00"/>
    <n v="35625.050000000003"/>
    <x v="1"/>
    <n v="30"/>
    <n v="944"/>
    <x v="1"/>
  </r>
  <r>
    <x v="277"/>
    <x v="0"/>
    <x v="254"/>
    <d v="2025-08-19T00:00:00"/>
    <n v="25348.47"/>
    <x v="0"/>
    <n v="30"/>
    <n v="0"/>
    <x v="0"/>
  </r>
  <r>
    <x v="278"/>
    <x v="0"/>
    <x v="255"/>
    <d v="2024-04-06T00:00:00"/>
    <n v="46873.15"/>
    <x v="0"/>
    <n v="30"/>
    <n v="0"/>
    <x v="0"/>
  </r>
  <r>
    <x v="279"/>
    <x v="0"/>
    <x v="0"/>
    <d v="2024-03-30T00:00:00"/>
    <n v="17802.63"/>
    <x v="0"/>
    <n v="30"/>
    <n v="0"/>
    <x v="0"/>
  </r>
  <r>
    <x v="280"/>
    <x v="4"/>
    <x v="256"/>
    <d v="2026-03-25T00:00:00"/>
    <n v="45297.85"/>
    <x v="0"/>
    <n v="30"/>
    <n v="0"/>
    <x v="0"/>
  </r>
  <r>
    <x v="281"/>
    <x v="1"/>
    <x v="257"/>
    <d v="2025-12-26T00:00:00"/>
    <n v="27561.27"/>
    <x v="0"/>
    <n v="30"/>
    <n v="0"/>
    <x v="0"/>
  </r>
  <r>
    <x v="282"/>
    <x v="1"/>
    <x v="39"/>
    <d v="2025-06-24T00:00:00"/>
    <n v="22884.99"/>
    <x v="1"/>
    <n v="30"/>
    <n v="448"/>
    <x v="1"/>
  </r>
  <r>
    <x v="283"/>
    <x v="4"/>
    <x v="251"/>
    <d v="2024-11-16T00:00:00"/>
    <n v="6265.25"/>
    <x v="0"/>
    <n v="30"/>
    <n v="0"/>
    <x v="0"/>
  </r>
  <r>
    <x v="284"/>
    <x v="4"/>
    <x v="249"/>
    <d v="2023-09-11T00:00:00"/>
    <n v="25114.13"/>
    <x v="1"/>
    <n v="30"/>
    <n v="1100"/>
    <x v="1"/>
  </r>
  <r>
    <x v="285"/>
    <x v="1"/>
    <x v="187"/>
    <d v="2024-03-09T00:00:00"/>
    <n v="32829.47"/>
    <x v="0"/>
    <n v="30"/>
    <n v="0"/>
    <x v="0"/>
  </r>
  <r>
    <x v="286"/>
    <x v="3"/>
    <x v="258"/>
    <d v="2026-08-09T00:00:00"/>
    <n v="31795.06"/>
    <x v="0"/>
    <n v="30"/>
    <n v="0"/>
    <x v="0"/>
  </r>
  <r>
    <x v="287"/>
    <x v="2"/>
    <x v="87"/>
    <d v="2026-09-27T00:00:00"/>
    <n v="1493.97"/>
    <x v="0"/>
    <n v="30"/>
    <n v="0"/>
    <x v="0"/>
  </r>
  <r>
    <x v="288"/>
    <x v="0"/>
    <x v="259"/>
    <d v="2024-12-18T00:00:00"/>
    <n v="21864.7"/>
    <x v="0"/>
    <n v="30"/>
    <n v="0"/>
    <x v="0"/>
  </r>
  <r>
    <x v="289"/>
    <x v="4"/>
    <x v="260"/>
    <d v="2023-10-15T00:00:00"/>
    <n v="12748.49"/>
    <x v="0"/>
    <n v="30"/>
    <n v="0"/>
    <x v="0"/>
  </r>
  <r>
    <x v="290"/>
    <x v="3"/>
    <x v="261"/>
    <d v="2026-04-17T00:00:00"/>
    <n v="40076.980000000003"/>
    <x v="0"/>
    <n v="30"/>
    <n v="0"/>
    <x v="0"/>
  </r>
  <r>
    <x v="291"/>
    <x v="4"/>
    <x v="262"/>
    <d v="2024-06-01T00:00:00"/>
    <n v="10669.78"/>
    <x v="1"/>
    <n v="30"/>
    <n v="836"/>
    <x v="1"/>
  </r>
  <r>
    <x v="292"/>
    <x v="2"/>
    <x v="228"/>
    <d v="2023-03-26T00:00:00"/>
    <n v="13449.64"/>
    <x v="0"/>
    <n v="30"/>
    <n v="0"/>
    <x v="0"/>
  </r>
  <r>
    <x v="293"/>
    <x v="1"/>
    <x v="71"/>
    <d v="2023-04-13T00:00:00"/>
    <n v="16961.75"/>
    <x v="1"/>
    <n v="30"/>
    <n v="1251"/>
    <x v="1"/>
  </r>
  <r>
    <x v="294"/>
    <x v="0"/>
    <x v="225"/>
    <d v="2025-08-25T00:00:00"/>
    <n v="17194.990000000002"/>
    <x v="1"/>
    <n v="30"/>
    <n v="386"/>
    <x v="1"/>
  </r>
  <r>
    <x v="295"/>
    <x v="4"/>
    <x v="136"/>
    <d v="2025-03-01T00:00:00"/>
    <n v="48996.34"/>
    <x v="0"/>
    <n v="30"/>
    <n v="0"/>
    <x v="0"/>
  </r>
  <r>
    <x v="296"/>
    <x v="1"/>
    <x v="263"/>
    <d v="2023-02-27T00:00:00"/>
    <n v="30031.55"/>
    <x v="1"/>
    <n v="30"/>
    <n v="1296"/>
    <x v="1"/>
  </r>
  <r>
    <x v="297"/>
    <x v="1"/>
    <x v="264"/>
    <d v="2025-08-02T00:00:00"/>
    <n v="42393.02"/>
    <x v="0"/>
    <n v="30"/>
    <n v="0"/>
    <x v="0"/>
  </r>
  <r>
    <x v="298"/>
    <x v="1"/>
    <x v="265"/>
    <d v="2023-04-28T00:00:00"/>
    <n v="48899.69"/>
    <x v="0"/>
    <n v="30"/>
    <n v="0"/>
    <x v="0"/>
  </r>
  <r>
    <x v="299"/>
    <x v="3"/>
    <x v="266"/>
    <d v="2024-05-22T00:00:00"/>
    <n v="29818.400000000001"/>
    <x v="0"/>
    <n v="30"/>
    <n v="0"/>
    <x v="0"/>
  </r>
  <r>
    <x v="300"/>
    <x v="2"/>
    <x v="267"/>
    <d v="2026-03-21T00:00:00"/>
    <n v="38521.71"/>
    <x v="1"/>
    <n v="30"/>
    <n v="178"/>
    <x v="1"/>
  </r>
  <r>
    <x v="301"/>
    <x v="3"/>
    <x v="268"/>
    <d v="2026-08-13T00:00:00"/>
    <n v="8114.93"/>
    <x v="0"/>
    <n v="30"/>
    <n v="0"/>
    <x v="0"/>
  </r>
  <r>
    <x v="302"/>
    <x v="0"/>
    <x v="269"/>
    <d v="2024-03-05T00:00:00"/>
    <n v="40380.93"/>
    <x v="0"/>
    <n v="30"/>
    <n v="0"/>
    <x v="0"/>
  </r>
  <r>
    <x v="303"/>
    <x v="1"/>
    <x v="270"/>
    <d v="2026-09-20T00:00:00"/>
    <n v="5301.04"/>
    <x v="0"/>
    <n v="30"/>
    <n v="0"/>
    <x v="0"/>
  </r>
  <r>
    <x v="304"/>
    <x v="3"/>
    <x v="271"/>
    <d v="2025-05-30T00:00:00"/>
    <n v="49443.41"/>
    <x v="1"/>
    <n v="30"/>
    <n v="473"/>
    <x v="1"/>
  </r>
  <r>
    <x v="305"/>
    <x v="1"/>
    <x v="272"/>
    <d v="2024-07-20T00:00:00"/>
    <n v="46335.33"/>
    <x v="0"/>
    <n v="30"/>
    <n v="0"/>
    <x v="0"/>
  </r>
  <r>
    <x v="306"/>
    <x v="2"/>
    <x v="273"/>
    <d v="2025-06-14T00:00:00"/>
    <n v="18578.580000000002"/>
    <x v="1"/>
    <n v="30"/>
    <n v="458"/>
    <x v="1"/>
  </r>
  <r>
    <x v="307"/>
    <x v="0"/>
    <x v="274"/>
    <d v="2024-03-06T00:00:00"/>
    <n v="45553.98"/>
    <x v="0"/>
    <n v="30"/>
    <n v="0"/>
    <x v="0"/>
  </r>
  <r>
    <x v="308"/>
    <x v="3"/>
    <x v="186"/>
    <d v="2025-07-06T00:00:00"/>
    <n v="1294.26"/>
    <x v="0"/>
    <n v="30"/>
    <n v="0"/>
    <x v="0"/>
  </r>
  <r>
    <x v="309"/>
    <x v="2"/>
    <x v="8"/>
    <d v="2026-08-01T00:00:00"/>
    <n v="32119.41"/>
    <x v="0"/>
    <n v="30"/>
    <n v="0"/>
    <x v="0"/>
  </r>
  <r>
    <x v="310"/>
    <x v="3"/>
    <x v="275"/>
    <d v="2025-07-30T00:00:00"/>
    <n v="34348.71"/>
    <x v="0"/>
    <n v="30"/>
    <n v="0"/>
    <x v="0"/>
  </r>
  <r>
    <x v="311"/>
    <x v="3"/>
    <x v="276"/>
    <d v="2024-10-19T00:00:00"/>
    <n v="14118.2"/>
    <x v="0"/>
    <n v="30"/>
    <n v="0"/>
    <x v="0"/>
  </r>
  <r>
    <x v="312"/>
    <x v="1"/>
    <x v="277"/>
    <d v="2024-08-08T00:00:00"/>
    <n v="31816.47"/>
    <x v="0"/>
    <n v="30"/>
    <n v="0"/>
    <x v="0"/>
  </r>
  <r>
    <x v="313"/>
    <x v="1"/>
    <x v="278"/>
    <d v="2025-02-22T00:00:00"/>
    <n v="17127.849999999999"/>
    <x v="0"/>
    <n v="30"/>
    <n v="0"/>
    <x v="0"/>
  </r>
  <r>
    <x v="314"/>
    <x v="1"/>
    <x v="279"/>
    <d v="2024-07-22T00:00:00"/>
    <n v="25027.57"/>
    <x v="0"/>
    <n v="30"/>
    <n v="0"/>
    <x v="0"/>
  </r>
  <r>
    <x v="315"/>
    <x v="2"/>
    <x v="21"/>
    <d v="2025-08-24T00:00:00"/>
    <n v="21121.13"/>
    <x v="1"/>
    <n v="30"/>
    <n v="387"/>
    <x v="1"/>
  </r>
  <r>
    <x v="316"/>
    <x v="0"/>
    <x v="51"/>
    <d v="2025-11-09T00:00:00"/>
    <n v="24128.59"/>
    <x v="0"/>
    <n v="30"/>
    <n v="0"/>
    <x v="0"/>
  </r>
  <r>
    <x v="317"/>
    <x v="0"/>
    <x v="280"/>
    <d v="2024-09-19T00:00:00"/>
    <n v="5190.3100000000004"/>
    <x v="0"/>
    <n v="30"/>
    <n v="0"/>
    <x v="0"/>
  </r>
  <r>
    <x v="318"/>
    <x v="2"/>
    <x v="281"/>
    <d v="2024-08-03T00:00:00"/>
    <n v="39774.86"/>
    <x v="0"/>
    <n v="30"/>
    <n v="0"/>
    <x v="0"/>
  </r>
  <r>
    <x v="319"/>
    <x v="1"/>
    <x v="282"/>
    <d v="2026-03-17T00:00:00"/>
    <n v="44200.74"/>
    <x v="0"/>
    <n v="30"/>
    <n v="0"/>
    <x v="0"/>
  </r>
  <r>
    <x v="320"/>
    <x v="2"/>
    <x v="283"/>
    <d v="2025-02-04T00:00:00"/>
    <n v="43234.48"/>
    <x v="1"/>
    <n v="30"/>
    <n v="588"/>
    <x v="1"/>
  </r>
  <r>
    <x v="321"/>
    <x v="2"/>
    <x v="284"/>
    <d v="2023-07-28T00:00:00"/>
    <n v="43617.73"/>
    <x v="0"/>
    <n v="30"/>
    <n v="0"/>
    <x v="0"/>
  </r>
  <r>
    <x v="322"/>
    <x v="3"/>
    <x v="285"/>
    <d v="2024-12-30T00:00:00"/>
    <n v="26256.78"/>
    <x v="0"/>
    <n v="30"/>
    <n v="0"/>
    <x v="0"/>
  </r>
  <r>
    <x v="323"/>
    <x v="2"/>
    <x v="286"/>
    <d v="2026-01-03T00:00:00"/>
    <n v="33215.379999999997"/>
    <x v="0"/>
    <n v="30"/>
    <n v="0"/>
    <x v="0"/>
  </r>
  <r>
    <x v="324"/>
    <x v="3"/>
    <x v="172"/>
    <d v="2024-03-01T00:00:00"/>
    <n v="24330.42"/>
    <x v="0"/>
    <n v="30"/>
    <n v="0"/>
    <x v="0"/>
  </r>
  <r>
    <x v="325"/>
    <x v="0"/>
    <x v="287"/>
    <d v="2024-01-13T00:00:00"/>
    <n v="20671.39"/>
    <x v="0"/>
    <n v="30"/>
    <n v="0"/>
    <x v="0"/>
  </r>
  <r>
    <x v="326"/>
    <x v="1"/>
    <x v="288"/>
    <d v="2024-06-14T00:00:00"/>
    <n v="45004.68"/>
    <x v="0"/>
    <n v="30"/>
    <n v="0"/>
    <x v="0"/>
  </r>
  <r>
    <x v="327"/>
    <x v="1"/>
    <x v="289"/>
    <d v="2024-12-06T00:00:00"/>
    <n v="31340.23"/>
    <x v="0"/>
    <n v="30"/>
    <n v="0"/>
    <x v="0"/>
  </r>
  <r>
    <x v="328"/>
    <x v="0"/>
    <x v="290"/>
    <d v="2024-09-26T00:00:00"/>
    <n v="27154.67"/>
    <x v="0"/>
    <n v="30"/>
    <n v="0"/>
    <x v="0"/>
  </r>
  <r>
    <x v="329"/>
    <x v="4"/>
    <x v="110"/>
    <d v="2023-05-08T00:00:00"/>
    <n v="26064.37"/>
    <x v="0"/>
    <n v="30"/>
    <n v="0"/>
    <x v="0"/>
  </r>
  <r>
    <x v="330"/>
    <x v="0"/>
    <x v="66"/>
    <d v="2023-11-08T00:00:00"/>
    <n v="1321.69"/>
    <x v="0"/>
    <n v="30"/>
    <n v="0"/>
    <x v="0"/>
  </r>
  <r>
    <x v="331"/>
    <x v="4"/>
    <x v="291"/>
    <d v="2024-11-22T00:00:00"/>
    <n v="15420.92"/>
    <x v="0"/>
    <n v="30"/>
    <n v="0"/>
    <x v="0"/>
  </r>
  <r>
    <x v="332"/>
    <x v="4"/>
    <x v="292"/>
    <d v="2026-09-25T00:00:00"/>
    <n v="29672.42"/>
    <x v="0"/>
    <n v="30"/>
    <n v="0"/>
    <x v="0"/>
  </r>
  <r>
    <x v="333"/>
    <x v="1"/>
    <x v="278"/>
    <d v="2025-02-22T00:00:00"/>
    <n v="32542.57"/>
    <x v="1"/>
    <n v="30"/>
    <n v="570"/>
    <x v="1"/>
  </r>
  <r>
    <x v="334"/>
    <x v="1"/>
    <x v="293"/>
    <d v="2024-04-22T00:00:00"/>
    <n v="36555.160000000003"/>
    <x v="0"/>
    <n v="30"/>
    <n v="0"/>
    <x v="0"/>
  </r>
  <r>
    <x v="335"/>
    <x v="3"/>
    <x v="294"/>
    <d v="2026-04-26T00:00:00"/>
    <n v="30022.2"/>
    <x v="1"/>
    <n v="30"/>
    <n v="142"/>
    <x v="1"/>
  </r>
  <r>
    <x v="336"/>
    <x v="1"/>
    <x v="295"/>
    <d v="2024-06-08T00:00:00"/>
    <n v="24190.68"/>
    <x v="0"/>
    <n v="30"/>
    <n v="0"/>
    <x v="0"/>
  </r>
  <r>
    <x v="337"/>
    <x v="1"/>
    <x v="0"/>
    <d v="2024-03-30T00:00:00"/>
    <n v="7234.02"/>
    <x v="0"/>
    <n v="30"/>
    <n v="0"/>
    <x v="0"/>
  </r>
  <r>
    <x v="338"/>
    <x v="4"/>
    <x v="296"/>
    <d v="2026-02-04T00:00:00"/>
    <n v="31264.38"/>
    <x v="0"/>
    <n v="30"/>
    <n v="0"/>
    <x v="0"/>
  </r>
  <r>
    <x v="339"/>
    <x v="4"/>
    <x v="297"/>
    <d v="2023-02-16T00:00:00"/>
    <n v="6820.53"/>
    <x v="0"/>
    <n v="30"/>
    <n v="0"/>
    <x v="0"/>
  </r>
  <r>
    <x v="340"/>
    <x v="2"/>
    <x v="222"/>
    <d v="2026-09-03T00:00:00"/>
    <n v="1836.79"/>
    <x v="0"/>
    <n v="30"/>
    <n v="0"/>
    <x v="0"/>
  </r>
  <r>
    <x v="341"/>
    <x v="4"/>
    <x v="298"/>
    <d v="2025-07-14T00:00:00"/>
    <n v="15327.78"/>
    <x v="0"/>
    <n v="30"/>
    <n v="0"/>
    <x v="0"/>
  </r>
  <r>
    <x v="342"/>
    <x v="2"/>
    <x v="299"/>
    <d v="2024-02-04T00:00:00"/>
    <n v="24095.45"/>
    <x v="0"/>
    <n v="30"/>
    <n v="0"/>
    <x v="0"/>
  </r>
  <r>
    <x v="343"/>
    <x v="4"/>
    <x v="300"/>
    <d v="2024-03-16T00:00:00"/>
    <n v="17154.47"/>
    <x v="0"/>
    <n v="30"/>
    <n v="0"/>
    <x v="0"/>
  </r>
  <r>
    <x v="344"/>
    <x v="0"/>
    <x v="301"/>
    <d v="2024-09-04T00:00:00"/>
    <n v="29338.9"/>
    <x v="0"/>
    <n v="30"/>
    <n v="0"/>
    <x v="0"/>
  </r>
  <r>
    <x v="345"/>
    <x v="3"/>
    <x v="91"/>
    <d v="2024-12-31T00:00:00"/>
    <n v="4640.2"/>
    <x v="0"/>
    <n v="30"/>
    <n v="0"/>
    <x v="0"/>
  </r>
  <r>
    <x v="346"/>
    <x v="4"/>
    <x v="302"/>
    <d v="2023-10-17T00:00:00"/>
    <n v="49726.84"/>
    <x v="0"/>
    <n v="30"/>
    <n v="0"/>
    <x v="0"/>
  </r>
  <r>
    <x v="347"/>
    <x v="3"/>
    <x v="303"/>
    <d v="2025-03-23T00:00:00"/>
    <n v="4094.31"/>
    <x v="0"/>
    <n v="30"/>
    <n v="0"/>
    <x v="0"/>
  </r>
  <r>
    <x v="348"/>
    <x v="0"/>
    <x v="304"/>
    <d v="2024-08-26T00:00:00"/>
    <n v="5386.58"/>
    <x v="0"/>
    <n v="30"/>
    <n v="0"/>
    <x v="0"/>
  </r>
  <r>
    <x v="349"/>
    <x v="4"/>
    <x v="305"/>
    <d v="2024-04-12T00:00:00"/>
    <n v="16054.56"/>
    <x v="0"/>
    <n v="30"/>
    <n v="0"/>
    <x v="0"/>
  </r>
  <r>
    <x v="350"/>
    <x v="0"/>
    <x v="306"/>
    <d v="2023-12-18T00:00:00"/>
    <n v="49460.69"/>
    <x v="0"/>
    <n v="30"/>
    <n v="0"/>
    <x v="0"/>
  </r>
  <r>
    <x v="351"/>
    <x v="4"/>
    <x v="307"/>
    <d v="2023-07-22T00:00:00"/>
    <n v="44358.83"/>
    <x v="0"/>
    <n v="30"/>
    <n v="0"/>
    <x v="0"/>
  </r>
  <r>
    <x v="352"/>
    <x v="1"/>
    <x v="14"/>
    <d v="2023-02-03T00:00:00"/>
    <n v="6483.43"/>
    <x v="1"/>
    <n v="30"/>
    <n v="1320"/>
    <x v="1"/>
  </r>
  <r>
    <x v="353"/>
    <x v="3"/>
    <x v="308"/>
    <d v="2023-12-23T00:00:00"/>
    <n v="17698.57"/>
    <x v="0"/>
    <n v="30"/>
    <n v="0"/>
    <x v="0"/>
  </r>
  <r>
    <x v="354"/>
    <x v="2"/>
    <x v="309"/>
    <d v="2023-05-31T00:00:00"/>
    <n v="25729.8"/>
    <x v="0"/>
    <n v="30"/>
    <n v="0"/>
    <x v="0"/>
  </r>
  <r>
    <x v="355"/>
    <x v="1"/>
    <x v="310"/>
    <d v="2023-02-12T00:00:00"/>
    <n v="42418.400000000001"/>
    <x v="0"/>
    <n v="30"/>
    <n v="0"/>
    <x v="0"/>
  </r>
  <r>
    <x v="356"/>
    <x v="0"/>
    <x v="311"/>
    <d v="2024-07-08T00:00:00"/>
    <n v="12159.92"/>
    <x v="0"/>
    <n v="30"/>
    <n v="0"/>
    <x v="0"/>
  </r>
  <r>
    <x v="357"/>
    <x v="0"/>
    <x v="297"/>
    <d v="2023-02-16T00:00:00"/>
    <n v="34495.9"/>
    <x v="0"/>
    <n v="30"/>
    <n v="0"/>
    <x v="0"/>
  </r>
  <r>
    <x v="358"/>
    <x v="2"/>
    <x v="52"/>
    <d v="2023-12-03T00:00:00"/>
    <n v="26265.48"/>
    <x v="0"/>
    <n v="30"/>
    <n v="0"/>
    <x v="0"/>
  </r>
  <r>
    <x v="359"/>
    <x v="1"/>
    <x v="312"/>
    <d v="2025-02-20T00:00:00"/>
    <n v="31795.18"/>
    <x v="0"/>
    <n v="30"/>
    <n v="0"/>
    <x v="0"/>
  </r>
  <r>
    <x v="360"/>
    <x v="4"/>
    <x v="87"/>
    <d v="2026-09-27T00:00:00"/>
    <n v="47665.61"/>
    <x v="0"/>
    <n v="30"/>
    <n v="0"/>
    <x v="0"/>
  </r>
  <r>
    <x v="361"/>
    <x v="4"/>
    <x v="313"/>
    <d v="2024-05-08T00:00:00"/>
    <n v="45672.62"/>
    <x v="0"/>
    <n v="30"/>
    <n v="0"/>
    <x v="0"/>
  </r>
  <r>
    <x v="362"/>
    <x v="2"/>
    <x v="314"/>
    <d v="2023-10-25T00:00:00"/>
    <n v="10207.93"/>
    <x v="1"/>
    <n v="30"/>
    <n v="1056"/>
    <x v="1"/>
  </r>
  <r>
    <x v="363"/>
    <x v="4"/>
    <x v="315"/>
    <d v="2026-03-08T00:00:00"/>
    <n v="45509.69"/>
    <x v="0"/>
    <n v="30"/>
    <n v="0"/>
    <x v="0"/>
  </r>
  <r>
    <x v="364"/>
    <x v="4"/>
    <x v="316"/>
    <d v="2025-04-03T00:00:00"/>
    <n v="39813.22"/>
    <x v="0"/>
    <n v="30"/>
    <n v="0"/>
    <x v="0"/>
  </r>
  <r>
    <x v="365"/>
    <x v="3"/>
    <x v="317"/>
    <d v="2024-09-27T00:00:00"/>
    <n v="15122.92"/>
    <x v="0"/>
    <n v="30"/>
    <n v="0"/>
    <x v="0"/>
  </r>
  <r>
    <x v="366"/>
    <x v="0"/>
    <x v="318"/>
    <d v="2023-05-04T00:00:00"/>
    <n v="47696.37"/>
    <x v="0"/>
    <n v="30"/>
    <n v="0"/>
    <x v="0"/>
  </r>
  <r>
    <x v="367"/>
    <x v="3"/>
    <x v="319"/>
    <d v="2023-10-01T00:00:00"/>
    <n v="48506.16"/>
    <x v="0"/>
    <n v="30"/>
    <n v="0"/>
    <x v="0"/>
  </r>
  <r>
    <x v="368"/>
    <x v="4"/>
    <x v="210"/>
    <d v="2024-04-05T00:00:00"/>
    <n v="13320.7"/>
    <x v="1"/>
    <n v="30"/>
    <n v="893"/>
    <x v="1"/>
  </r>
  <r>
    <x v="369"/>
    <x v="4"/>
    <x v="320"/>
    <d v="2025-03-27T00:00:00"/>
    <n v="34835.589999999997"/>
    <x v="0"/>
    <n v="30"/>
    <n v="0"/>
    <x v="0"/>
  </r>
  <r>
    <x v="370"/>
    <x v="4"/>
    <x v="321"/>
    <d v="2025-02-05T00:00:00"/>
    <n v="5286.1"/>
    <x v="0"/>
    <n v="30"/>
    <n v="0"/>
    <x v="0"/>
  </r>
  <r>
    <x v="371"/>
    <x v="4"/>
    <x v="322"/>
    <d v="2025-10-09T00:00:00"/>
    <n v="11960.74"/>
    <x v="1"/>
    <n v="30"/>
    <n v="341"/>
    <x v="1"/>
  </r>
  <r>
    <x v="372"/>
    <x v="3"/>
    <x v="201"/>
    <d v="2025-08-29T00:00:00"/>
    <n v="47635.519999999997"/>
    <x v="0"/>
    <n v="30"/>
    <n v="0"/>
    <x v="0"/>
  </r>
  <r>
    <x v="373"/>
    <x v="4"/>
    <x v="27"/>
    <d v="2026-08-21T00:00:00"/>
    <n v="31260.69"/>
    <x v="1"/>
    <n v="30"/>
    <n v="25"/>
    <x v="2"/>
  </r>
  <r>
    <x v="374"/>
    <x v="2"/>
    <x v="323"/>
    <d v="2024-07-01T00:00:00"/>
    <n v="27161.9"/>
    <x v="0"/>
    <n v="30"/>
    <n v="0"/>
    <x v="0"/>
  </r>
  <r>
    <x v="375"/>
    <x v="0"/>
    <x v="324"/>
    <d v="2025-09-11T00:00:00"/>
    <n v="40028.44"/>
    <x v="0"/>
    <n v="30"/>
    <n v="0"/>
    <x v="0"/>
  </r>
  <r>
    <x v="376"/>
    <x v="2"/>
    <x v="325"/>
    <d v="2024-11-19T00:00:00"/>
    <n v="44113.96"/>
    <x v="0"/>
    <n v="30"/>
    <n v="0"/>
    <x v="0"/>
  </r>
  <r>
    <x v="377"/>
    <x v="1"/>
    <x v="17"/>
    <d v="2024-10-09T00:00:00"/>
    <n v="1126.27"/>
    <x v="0"/>
    <n v="30"/>
    <n v="0"/>
    <x v="0"/>
  </r>
  <r>
    <x v="378"/>
    <x v="1"/>
    <x v="326"/>
    <d v="2025-05-21T00:00:00"/>
    <n v="4492.08"/>
    <x v="1"/>
    <n v="30"/>
    <n v="482"/>
    <x v="1"/>
  </r>
  <r>
    <x v="379"/>
    <x v="1"/>
    <x v="327"/>
    <d v="2026-06-15T00:00:00"/>
    <n v="7021.27"/>
    <x v="0"/>
    <n v="30"/>
    <n v="0"/>
    <x v="0"/>
  </r>
  <r>
    <x v="380"/>
    <x v="4"/>
    <x v="328"/>
    <d v="2023-04-27T00:00:00"/>
    <n v="19320.73"/>
    <x v="0"/>
    <n v="30"/>
    <n v="0"/>
    <x v="0"/>
  </r>
  <r>
    <x v="381"/>
    <x v="0"/>
    <x v="329"/>
    <d v="2026-08-29T00:00:00"/>
    <n v="7688.86"/>
    <x v="0"/>
    <n v="30"/>
    <n v="0"/>
    <x v="0"/>
  </r>
  <r>
    <x v="382"/>
    <x v="1"/>
    <x v="330"/>
    <d v="2025-09-27T00:00:00"/>
    <n v="16087.6"/>
    <x v="1"/>
    <n v="30"/>
    <n v="353"/>
    <x v="1"/>
  </r>
  <r>
    <x v="383"/>
    <x v="4"/>
    <x v="331"/>
    <d v="2024-10-11T00:00:00"/>
    <n v="25765.14"/>
    <x v="0"/>
    <n v="30"/>
    <n v="0"/>
    <x v="0"/>
  </r>
  <r>
    <x v="384"/>
    <x v="1"/>
    <x v="4"/>
    <d v="2023-09-20T00:00:00"/>
    <n v="7304.57"/>
    <x v="1"/>
    <n v="30"/>
    <n v="1091"/>
    <x v="1"/>
  </r>
  <r>
    <x v="385"/>
    <x v="3"/>
    <x v="332"/>
    <d v="2025-02-21T00:00:00"/>
    <n v="49560.08"/>
    <x v="0"/>
    <n v="30"/>
    <n v="0"/>
    <x v="0"/>
  </r>
  <r>
    <x v="386"/>
    <x v="0"/>
    <x v="88"/>
    <d v="2026-07-10T00:00:00"/>
    <n v="20258.88"/>
    <x v="0"/>
    <n v="30"/>
    <n v="0"/>
    <x v="0"/>
  </r>
  <r>
    <x v="387"/>
    <x v="0"/>
    <x v="333"/>
    <d v="2023-06-09T00:00:00"/>
    <n v="30306.16"/>
    <x v="0"/>
    <n v="30"/>
    <n v="0"/>
    <x v="0"/>
  </r>
  <r>
    <x v="388"/>
    <x v="3"/>
    <x v="334"/>
    <d v="2024-05-10T00:00:00"/>
    <n v="4543.8599999999997"/>
    <x v="0"/>
    <n v="30"/>
    <n v="0"/>
    <x v="0"/>
  </r>
  <r>
    <x v="389"/>
    <x v="2"/>
    <x v="335"/>
    <d v="2026-07-22T00:00:00"/>
    <n v="22517.38"/>
    <x v="0"/>
    <n v="30"/>
    <n v="0"/>
    <x v="0"/>
  </r>
  <r>
    <x v="390"/>
    <x v="0"/>
    <x v="201"/>
    <d v="2025-08-29T00:00:00"/>
    <n v="27948.89"/>
    <x v="0"/>
    <n v="30"/>
    <n v="0"/>
    <x v="0"/>
  </r>
  <r>
    <x v="391"/>
    <x v="1"/>
    <x v="336"/>
    <d v="2024-04-16T00:00:00"/>
    <n v="46018"/>
    <x v="1"/>
    <n v="30"/>
    <n v="882"/>
    <x v="1"/>
  </r>
  <r>
    <x v="392"/>
    <x v="1"/>
    <x v="337"/>
    <d v="2023-08-16T00:00:00"/>
    <n v="35899.94"/>
    <x v="1"/>
    <n v="30"/>
    <n v="1126"/>
    <x v="1"/>
  </r>
  <r>
    <x v="393"/>
    <x v="1"/>
    <x v="338"/>
    <d v="2026-04-27T00:00:00"/>
    <n v="18158.64"/>
    <x v="0"/>
    <n v="30"/>
    <n v="0"/>
    <x v="0"/>
  </r>
  <r>
    <x v="394"/>
    <x v="3"/>
    <x v="339"/>
    <d v="2023-11-27T00:00:00"/>
    <n v="41359.660000000003"/>
    <x v="0"/>
    <n v="30"/>
    <n v="0"/>
    <x v="0"/>
  </r>
  <r>
    <x v="395"/>
    <x v="1"/>
    <x v="24"/>
    <d v="2024-06-21T00:00:00"/>
    <n v="1099.8900000000001"/>
    <x v="1"/>
    <n v="30"/>
    <n v="816"/>
    <x v="1"/>
  </r>
  <r>
    <x v="396"/>
    <x v="4"/>
    <x v="340"/>
    <d v="2025-02-25T00:00:00"/>
    <n v="42364.18"/>
    <x v="0"/>
    <n v="30"/>
    <n v="0"/>
    <x v="0"/>
  </r>
  <r>
    <x v="397"/>
    <x v="0"/>
    <x v="341"/>
    <d v="2025-05-18T00:00:00"/>
    <n v="42114.69"/>
    <x v="0"/>
    <n v="30"/>
    <n v="0"/>
    <x v="0"/>
  </r>
  <r>
    <x v="398"/>
    <x v="2"/>
    <x v="342"/>
    <d v="2025-05-09T00:00:00"/>
    <n v="16801.95"/>
    <x v="0"/>
    <n v="30"/>
    <n v="0"/>
    <x v="0"/>
  </r>
  <r>
    <x v="399"/>
    <x v="3"/>
    <x v="343"/>
    <d v="2023-10-31T00:00:00"/>
    <n v="14767.95"/>
    <x v="0"/>
    <n v="30"/>
    <n v="0"/>
    <x v="0"/>
  </r>
  <r>
    <x v="400"/>
    <x v="1"/>
    <x v="344"/>
    <d v="2024-09-05T00:00:00"/>
    <n v="24110.15"/>
    <x v="0"/>
    <n v="30"/>
    <n v="0"/>
    <x v="0"/>
  </r>
  <r>
    <x v="401"/>
    <x v="1"/>
    <x v="345"/>
    <d v="2024-07-18T00:00:00"/>
    <n v="13248.08"/>
    <x v="0"/>
    <n v="30"/>
    <n v="0"/>
    <x v="0"/>
  </r>
  <r>
    <x v="402"/>
    <x v="0"/>
    <x v="203"/>
    <d v="2025-09-20T00:00:00"/>
    <n v="43809.16"/>
    <x v="0"/>
    <n v="30"/>
    <n v="0"/>
    <x v="0"/>
  </r>
  <r>
    <x v="403"/>
    <x v="0"/>
    <x v="86"/>
    <d v="2026-04-18T00:00:00"/>
    <n v="29141.08"/>
    <x v="0"/>
    <n v="30"/>
    <n v="0"/>
    <x v="0"/>
  </r>
  <r>
    <x v="404"/>
    <x v="4"/>
    <x v="346"/>
    <d v="2025-04-02T00:00:00"/>
    <n v="21271.11"/>
    <x v="0"/>
    <n v="30"/>
    <n v="0"/>
    <x v="0"/>
  </r>
  <r>
    <x v="405"/>
    <x v="3"/>
    <x v="347"/>
    <d v="2026-02-28T00:00:00"/>
    <n v="8004.17"/>
    <x v="0"/>
    <n v="30"/>
    <n v="0"/>
    <x v="0"/>
  </r>
  <r>
    <x v="406"/>
    <x v="2"/>
    <x v="348"/>
    <d v="2025-07-07T00:00:00"/>
    <n v="30120.83"/>
    <x v="0"/>
    <n v="30"/>
    <n v="0"/>
    <x v="0"/>
  </r>
  <r>
    <x v="407"/>
    <x v="2"/>
    <x v="349"/>
    <d v="2023-06-24T00:00:00"/>
    <n v="17430.72"/>
    <x v="0"/>
    <n v="30"/>
    <n v="0"/>
    <x v="0"/>
  </r>
  <r>
    <x v="408"/>
    <x v="2"/>
    <x v="350"/>
    <d v="2024-05-28T00:00:00"/>
    <n v="21193.95"/>
    <x v="0"/>
    <n v="30"/>
    <n v="0"/>
    <x v="0"/>
  </r>
  <r>
    <x v="409"/>
    <x v="4"/>
    <x v="351"/>
    <d v="2025-11-21T00:00:00"/>
    <n v="4086.72"/>
    <x v="0"/>
    <n v="30"/>
    <n v="0"/>
    <x v="0"/>
  </r>
  <r>
    <x v="410"/>
    <x v="2"/>
    <x v="352"/>
    <d v="2023-08-05T00:00:00"/>
    <n v="41036.29"/>
    <x v="1"/>
    <n v="30"/>
    <n v="1137"/>
    <x v="1"/>
  </r>
  <r>
    <x v="411"/>
    <x v="2"/>
    <x v="353"/>
    <d v="2024-10-29T00:00:00"/>
    <n v="5576.8"/>
    <x v="0"/>
    <n v="30"/>
    <n v="0"/>
    <x v="0"/>
  </r>
  <r>
    <x v="412"/>
    <x v="4"/>
    <x v="354"/>
    <d v="2024-06-29T00:00:00"/>
    <n v="21619.8"/>
    <x v="1"/>
    <n v="30"/>
    <n v="808"/>
    <x v="1"/>
  </r>
  <r>
    <x v="413"/>
    <x v="4"/>
    <x v="355"/>
    <d v="2023-06-22T00:00:00"/>
    <n v="48849.15"/>
    <x v="0"/>
    <n v="30"/>
    <n v="0"/>
    <x v="0"/>
  </r>
  <r>
    <x v="414"/>
    <x v="2"/>
    <x v="356"/>
    <d v="2023-09-24T00:00:00"/>
    <n v="21988.69"/>
    <x v="0"/>
    <n v="30"/>
    <n v="0"/>
    <x v="0"/>
  </r>
  <r>
    <x v="415"/>
    <x v="4"/>
    <x v="357"/>
    <d v="2023-05-28T00:00:00"/>
    <n v="5808.78"/>
    <x v="0"/>
    <n v="30"/>
    <n v="0"/>
    <x v="0"/>
  </r>
  <r>
    <x v="416"/>
    <x v="3"/>
    <x v="358"/>
    <d v="2025-01-04T00:00:00"/>
    <n v="45520.01"/>
    <x v="0"/>
    <n v="30"/>
    <n v="0"/>
    <x v="0"/>
  </r>
  <r>
    <x v="417"/>
    <x v="2"/>
    <x v="359"/>
    <d v="2024-03-03T00:00:00"/>
    <n v="8266.27"/>
    <x v="0"/>
    <n v="30"/>
    <n v="0"/>
    <x v="0"/>
  </r>
  <r>
    <x v="418"/>
    <x v="3"/>
    <x v="360"/>
    <d v="2026-04-08T00:00:00"/>
    <n v="24114.65"/>
    <x v="0"/>
    <n v="30"/>
    <n v="0"/>
    <x v="0"/>
  </r>
  <r>
    <x v="419"/>
    <x v="3"/>
    <x v="299"/>
    <d v="2024-02-04T00:00:00"/>
    <n v="22034.47"/>
    <x v="0"/>
    <n v="30"/>
    <n v="0"/>
    <x v="0"/>
  </r>
  <r>
    <x v="420"/>
    <x v="3"/>
    <x v="361"/>
    <d v="2024-04-19T00:00:00"/>
    <n v="15042.3"/>
    <x v="1"/>
    <n v="30"/>
    <n v="879"/>
    <x v="1"/>
  </r>
  <r>
    <x v="421"/>
    <x v="2"/>
    <x v="362"/>
    <d v="2025-05-24T00:00:00"/>
    <n v="46765.26"/>
    <x v="0"/>
    <n v="30"/>
    <n v="0"/>
    <x v="0"/>
  </r>
  <r>
    <x v="422"/>
    <x v="3"/>
    <x v="49"/>
    <d v="2023-06-14T00:00:00"/>
    <n v="28690.98"/>
    <x v="0"/>
    <n v="30"/>
    <n v="0"/>
    <x v="0"/>
  </r>
  <r>
    <x v="423"/>
    <x v="0"/>
    <x v="197"/>
    <d v="2024-04-30T00:00:00"/>
    <n v="49763.9"/>
    <x v="0"/>
    <n v="30"/>
    <n v="0"/>
    <x v="0"/>
  </r>
  <r>
    <x v="424"/>
    <x v="4"/>
    <x v="254"/>
    <d v="2025-08-19T00:00:00"/>
    <n v="30423.93"/>
    <x v="0"/>
    <n v="30"/>
    <n v="0"/>
    <x v="0"/>
  </r>
  <r>
    <x v="425"/>
    <x v="1"/>
    <x v="363"/>
    <d v="2023-03-16T00:00:00"/>
    <n v="26194.14"/>
    <x v="0"/>
    <n v="30"/>
    <n v="0"/>
    <x v="0"/>
  </r>
  <r>
    <x v="426"/>
    <x v="2"/>
    <x v="364"/>
    <d v="2025-10-11T00:00:00"/>
    <n v="28218.94"/>
    <x v="0"/>
    <n v="30"/>
    <n v="0"/>
    <x v="0"/>
  </r>
  <r>
    <x v="427"/>
    <x v="4"/>
    <x v="365"/>
    <d v="2025-03-24T00:00:00"/>
    <n v="38012.58"/>
    <x v="0"/>
    <n v="30"/>
    <n v="0"/>
    <x v="0"/>
  </r>
  <r>
    <x v="428"/>
    <x v="0"/>
    <x v="290"/>
    <d v="2024-09-26T00:00:00"/>
    <n v="7385.42"/>
    <x v="1"/>
    <n v="30"/>
    <n v="719"/>
    <x v="1"/>
  </r>
  <r>
    <x v="429"/>
    <x v="2"/>
    <x v="235"/>
    <d v="2026-07-24T00:00:00"/>
    <n v="20173.79"/>
    <x v="0"/>
    <n v="30"/>
    <n v="0"/>
    <x v="0"/>
  </r>
  <r>
    <x v="430"/>
    <x v="0"/>
    <x v="223"/>
    <d v="2023-05-30T00:00:00"/>
    <n v="10038.61"/>
    <x v="0"/>
    <n v="30"/>
    <n v="0"/>
    <x v="0"/>
  </r>
  <r>
    <x v="431"/>
    <x v="2"/>
    <x v="10"/>
    <d v="2025-07-25T00:00:00"/>
    <n v="19753.580000000002"/>
    <x v="0"/>
    <n v="30"/>
    <n v="0"/>
    <x v="0"/>
  </r>
  <r>
    <x v="432"/>
    <x v="0"/>
    <x v="214"/>
    <d v="2025-05-31T00:00:00"/>
    <n v="33683.08"/>
    <x v="0"/>
    <n v="30"/>
    <n v="0"/>
    <x v="0"/>
  </r>
  <r>
    <x v="433"/>
    <x v="1"/>
    <x v="366"/>
    <d v="2026-08-03T00:00:00"/>
    <n v="32927.589999999997"/>
    <x v="0"/>
    <n v="30"/>
    <n v="0"/>
    <x v="0"/>
  </r>
  <r>
    <x v="434"/>
    <x v="2"/>
    <x v="367"/>
    <d v="2023-10-20T00:00:00"/>
    <n v="30497.15"/>
    <x v="0"/>
    <n v="30"/>
    <n v="0"/>
    <x v="0"/>
  </r>
  <r>
    <x v="435"/>
    <x v="1"/>
    <x v="368"/>
    <d v="2024-12-04T00:00:00"/>
    <n v="20141.61"/>
    <x v="1"/>
    <n v="30"/>
    <n v="650"/>
    <x v="1"/>
  </r>
  <r>
    <x v="436"/>
    <x v="1"/>
    <x v="369"/>
    <d v="2024-03-15T00:00:00"/>
    <n v="12659.36"/>
    <x v="0"/>
    <n v="30"/>
    <n v="0"/>
    <x v="0"/>
  </r>
  <r>
    <x v="437"/>
    <x v="2"/>
    <x v="370"/>
    <d v="2025-07-18T00:00:00"/>
    <n v="9217.7900000000009"/>
    <x v="0"/>
    <n v="30"/>
    <n v="0"/>
    <x v="0"/>
  </r>
  <r>
    <x v="438"/>
    <x v="2"/>
    <x v="309"/>
    <d v="2023-05-31T00:00:00"/>
    <n v="22467.62"/>
    <x v="0"/>
    <n v="30"/>
    <n v="0"/>
    <x v="0"/>
  </r>
  <r>
    <x v="439"/>
    <x v="0"/>
    <x v="371"/>
    <d v="2024-02-24T00:00:00"/>
    <n v="24836.63"/>
    <x v="1"/>
    <n v="30"/>
    <n v="934"/>
    <x v="1"/>
  </r>
  <r>
    <x v="440"/>
    <x v="4"/>
    <x v="372"/>
    <d v="2024-04-29T00:00:00"/>
    <n v="14405.62"/>
    <x v="0"/>
    <n v="30"/>
    <n v="0"/>
    <x v="0"/>
  </r>
  <r>
    <x v="441"/>
    <x v="3"/>
    <x v="373"/>
    <d v="2024-04-18T00:00:00"/>
    <n v="18956.46"/>
    <x v="0"/>
    <n v="30"/>
    <n v="0"/>
    <x v="0"/>
  </r>
  <r>
    <x v="442"/>
    <x v="1"/>
    <x v="374"/>
    <d v="2025-02-23T00:00:00"/>
    <n v="31442.95"/>
    <x v="0"/>
    <n v="30"/>
    <n v="0"/>
    <x v="0"/>
  </r>
  <r>
    <x v="443"/>
    <x v="0"/>
    <x v="375"/>
    <d v="2024-08-16T00:00:00"/>
    <n v="29405.77"/>
    <x v="0"/>
    <n v="30"/>
    <n v="0"/>
    <x v="0"/>
  </r>
  <r>
    <x v="444"/>
    <x v="0"/>
    <x v="376"/>
    <d v="2025-06-22T00:00:00"/>
    <n v="23866.12"/>
    <x v="0"/>
    <n v="30"/>
    <n v="0"/>
    <x v="0"/>
  </r>
  <r>
    <x v="445"/>
    <x v="0"/>
    <x v="377"/>
    <d v="2023-05-27T00:00:00"/>
    <n v="26478.48"/>
    <x v="0"/>
    <n v="30"/>
    <n v="0"/>
    <x v="0"/>
  </r>
  <r>
    <x v="446"/>
    <x v="3"/>
    <x v="378"/>
    <d v="2026-06-19T00:00:00"/>
    <n v="18547.05"/>
    <x v="0"/>
    <n v="30"/>
    <n v="0"/>
    <x v="0"/>
  </r>
  <r>
    <x v="447"/>
    <x v="2"/>
    <x v="379"/>
    <d v="2026-07-09T00:00:00"/>
    <n v="46201.02"/>
    <x v="1"/>
    <n v="30"/>
    <n v="68"/>
    <x v="3"/>
  </r>
  <r>
    <x v="448"/>
    <x v="0"/>
    <x v="380"/>
    <d v="2025-04-17T00:00:00"/>
    <n v="34222.75"/>
    <x v="0"/>
    <n v="30"/>
    <n v="0"/>
    <x v="0"/>
  </r>
  <r>
    <x v="449"/>
    <x v="0"/>
    <x v="381"/>
    <d v="2024-01-06T00:00:00"/>
    <n v="6908.29"/>
    <x v="1"/>
    <n v="30"/>
    <n v="983"/>
    <x v="1"/>
  </r>
  <r>
    <x v="450"/>
    <x v="4"/>
    <x v="382"/>
    <d v="2023-09-07T00:00:00"/>
    <n v="14319.58"/>
    <x v="0"/>
    <n v="30"/>
    <n v="0"/>
    <x v="0"/>
  </r>
  <r>
    <x v="451"/>
    <x v="2"/>
    <x v="383"/>
    <d v="2026-07-21T00:00:00"/>
    <n v="42099.63"/>
    <x v="0"/>
    <n v="30"/>
    <n v="0"/>
    <x v="0"/>
  </r>
  <r>
    <x v="452"/>
    <x v="2"/>
    <x v="23"/>
    <d v="2026-06-20T00:00:00"/>
    <n v="28269.11"/>
    <x v="0"/>
    <n v="30"/>
    <n v="0"/>
    <x v="0"/>
  </r>
  <r>
    <x v="453"/>
    <x v="2"/>
    <x v="384"/>
    <d v="2026-05-03T00:00:00"/>
    <n v="6356.91"/>
    <x v="0"/>
    <n v="30"/>
    <n v="0"/>
    <x v="0"/>
  </r>
  <r>
    <x v="454"/>
    <x v="3"/>
    <x v="385"/>
    <d v="2024-07-16T00:00:00"/>
    <n v="4734.49"/>
    <x v="0"/>
    <n v="30"/>
    <n v="0"/>
    <x v="0"/>
  </r>
  <r>
    <x v="455"/>
    <x v="1"/>
    <x v="72"/>
    <d v="2024-05-09T00:00:00"/>
    <n v="4003.09"/>
    <x v="1"/>
    <n v="30"/>
    <n v="859"/>
    <x v="1"/>
  </r>
  <r>
    <x v="456"/>
    <x v="4"/>
    <x v="1"/>
    <d v="2024-10-28T00:00:00"/>
    <n v="21020.17"/>
    <x v="0"/>
    <n v="30"/>
    <n v="0"/>
    <x v="0"/>
  </r>
  <r>
    <x v="457"/>
    <x v="2"/>
    <x v="386"/>
    <d v="2023-02-26T00:00:00"/>
    <n v="42793.36"/>
    <x v="0"/>
    <n v="30"/>
    <n v="0"/>
    <x v="0"/>
  </r>
  <r>
    <x v="458"/>
    <x v="1"/>
    <x v="387"/>
    <d v="2024-05-01T00:00:00"/>
    <n v="13205.38"/>
    <x v="0"/>
    <n v="30"/>
    <n v="0"/>
    <x v="0"/>
  </r>
  <r>
    <x v="459"/>
    <x v="3"/>
    <x v="388"/>
    <d v="2025-04-15T00:00:00"/>
    <n v="29396.51"/>
    <x v="0"/>
    <n v="30"/>
    <n v="0"/>
    <x v="0"/>
  </r>
  <r>
    <x v="460"/>
    <x v="3"/>
    <x v="389"/>
    <d v="2026-04-15T00:00:00"/>
    <n v="49422.69"/>
    <x v="0"/>
    <n v="30"/>
    <n v="0"/>
    <x v="0"/>
  </r>
  <r>
    <x v="461"/>
    <x v="1"/>
    <x v="390"/>
    <d v="2024-08-25T00:00:00"/>
    <n v="15738.9"/>
    <x v="0"/>
    <n v="30"/>
    <n v="0"/>
    <x v="0"/>
  </r>
  <r>
    <x v="462"/>
    <x v="3"/>
    <x v="391"/>
    <d v="2024-02-03T00:00:00"/>
    <n v="18651.75"/>
    <x v="0"/>
    <n v="30"/>
    <n v="0"/>
    <x v="0"/>
  </r>
  <r>
    <x v="463"/>
    <x v="3"/>
    <x v="392"/>
    <d v="2025-03-30T00:00:00"/>
    <n v="19211.009999999998"/>
    <x v="0"/>
    <n v="30"/>
    <n v="0"/>
    <x v="0"/>
  </r>
  <r>
    <x v="464"/>
    <x v="2"/>
    <x v="393"/>
    <d v="2025-12-17T00:00:00"/>
    <n v="33418.910000000003"/>
    <x v="0"/>
    <n v="30"/>
    <n v="0"/>
    <x v="0"/>
  </r>
  <r>
    <x v="465"/>
    <x v="2"/>
    <x v="55"/>
    <d v="2025-04-11T00:00:00"/>
    <n v="28612.92"/>
    <x v="0"/>
    <n v="30"/>
    <n v="0"/>
    <x v="0"/>
  </r>
  <r>
    <x v="466"/>
    <x v="1"/>
    <x v="394"/>
    <d v="2024-08-04T00:00:00"/>
    <n v="18079"/>
    <x v="0"/>
    <n v="30"/>
    <n v="0"/>
    <x v="0"/>
  </r>
  <r>
    <x v="467"/>
    <x v="0"/>
    <x v="395"/>
    <d v="2023-11-02T00:00:00"/>
    <n v="9485.9500000000007"/>
    <x v="0"/>
    <n v="30"/>
    <n v="0"/>
    <x v="0"/>
  </r>
  <r>
    <x v="468"/>
    <x v="4"/>
    <x v="396"/>
    <d v="2025-04-28T00:00:00"/>
    <n v="9924.11"/>
    <x v="0"/>
    <n v="30"/>
    <n v="0"/>
    <x v="0"/>
  </r>
  <r>
    <x v="469"/>
    <x v="1"/>
    <x v="357"/>
    <d v="2023-05-28T00:00:00"/>
    <n v="28326.58"/>
    <x v="0"/>
    <n v="30"/>
    <n v="0"/>
    <x v="0"/>
  </r>
  <r>
    <x v="470"/>
    <x v="3"/>
    <x v="262"/>
    <d v="2024-06-01T00:00:00"/>
    <n v="24126.32"/>
    <x v="0"/>
    <n v="30"/>
    <n v="0"/>
    <x v="0"/>
  </r>
  <r>
    <x v="471"/>
    <x v="2"/>
    <x v="397"/>
    <d v="2024-05-21T00:00:00"/>
    <n v="40942.83"/>
    <x v="0"/>
    <n v="30"/>
    <n v="0"/>
    <x v="0"/>
  </r>
  <r>
    <x v="472"/>
    <x v="3"/>
    <x v="398"/>
    <d v="2023-08-13T00:00:00"/>
    <n v="49795.53"/>
    <x v="0"/>
    <n v="30"/>
    <n v="0"/>
    <x v="0"/>
  </r>
  <r>
    <x v="473"/>
    <x v="1"/>
    <x v="399"/>
    <d v="2025-04-04T00:00:00"/>
    <n v="39062.22"/>
    <x v="0"/>
    <n v="30"/>
    <n v="0"/>
    <x v="0"/>
  </r>
  <r>
    <x v="474"/>
    <x v="4"/>
    <x v="326"/>
    <d v="2025-05-21T00:00:00"/>
    <n v="19474.060000000001"/>
    <x v="0"/>
    <n v="30"/>
    <n v="0"/>
    <x v="0"/>
  </r>
  <r>
    <x v="475"/>
    <x v="2"/>
    <x v="400"/>
    <d v="2024-04-02T00:00:00"/>
    <n v="47302.3"/>
    <x v="0"/>
    <n v="30"/>
    <n v="0"/>
    <x v="0"/>
  </r>
  <r>
    <x v="476"/>
    <x v="3"/>
    <x v="401"/>
    <d v="2025-10-13T00:00:00"/>
    <n v="36537.21"/>
    <x v="0"/>
    <n v="30"/>
    <n v="0"/>
    <x v="0"/>
  </r>
  <r>
    <x v="477"/>
    <x v="2"/>
    <x v="394"/>
    <d v="2024-08-04T00:00:00"/>
    <n v="16556.7"/>
    <x v="0"/>
    <n v="30"/>
    <n v="0"/>
    <x v="0"/>
  </r>
  <r>
    <x v="478"/>
    <x v="0"/>
    <x v="402"/>
    <d v="2025-08-28T00:00:00"/>
    <n v="12793.42"/>
    <x v="0"/>
    <n v="30"/>
    <n v="0"/>
    <x v="0"/>
  </r>
  <r>
    <x v="479"/>
    <x v="2"/>
    <x v="225"/>
    <d v="2025-08-25T00:00:00"/>
    <n v="18983.91"/>
    <x v="0"/>
    <n v="30"/>
    <n v="0"/>
    <x v="0"/>
  </r>
  <r>
    <x v="480"/>
    <x v="0"/>
    <x v="403"/>
    <d v="2025-01-02T00:00:00"/>
    <n v="40775.839999999997"/>
    <x v="0"/>
    <n v="30"/>
    <n v="0"/>
    <x v="0"/>
  </r>
  <r>
    <x v="481"/>
    <x v="2"/>
    <x v="52"/>
    <d v="2023-12-03T00:00:00"/>
    <n v="16126.39"/>
    <x v="0"/>
    <n v="30"/>
    <n v="0"/>
    <x v="0"/>
  </r>
  <r>
    <x v="482"/>
    <x v="2"/>
    <x v="404"/>
    <d v="2024-07-13T00:00:00"/>
    <n v="26942.21"/>
    <x v="0"/>
    <n v="30"/>
    <n v="0"/>
    <x v="0"/>
  </r>
  <r>
    <x v="483"/>
    <x v="3"/>
    <x v="405"/>
    <d v="2023-04-17T00:00:00"/>
    <n v="19289.54"/>
    <x v="1"/>
    <n v="30"/>
    <n v="1247"/>
    <x v="1"/>
  </r>
  <r>
    <x v="484"/>
    <x v="3"/>
    <x v="406"/>
    <d v="2025-02-16T00:00:00"/>
    <n v="11619.86"/>
    <x v="0"/>
    <n v="30"/>
    <n v="0"/>
    <x v="0"/>
  </r>
  <r>
    <x v="485"/>
    <x v="2"/>
    <x v="407"/>
    <d v="2024-09-30T00:00:00"/>
    <n v="9223.86"/>
    <x v="0"/>
    <n v="30"/>
    <n v="0"/>
    <x v="0"/>
  </r>
  <r>
    <x v="486"/>
    <x v="0"/>
    <x v="408"/>
    <d v="2025-11-22T00:00:00"/>
    <n v="10085.15"/>
    <x v="0"/>
    <n v="30"/>
    <n v="0"/>
    <x v="0"/>
  </r>
  <r>
    <x v="487"/>
    <x v="0"/>
    <x v="409"/>
    <d v="2024-10-17T00:00:00"/>
    <n v="3523.03"/>
    <x v="0"/>
    <n v="30"/>
    <n v="0"/>
    <x v="0"/>
  </r>
  <r>
    <x v="488"/>
    <x v="3"/>
    <x v="16"/>
    <d v="2023-07-02T00:00:00"/>
    <n v="34561.660000000003"/>
    <x v="0"/>
    <n v="30"/>
    <n v="0"/>
    <x v="0"/>
  </r>
  <r>
    <x v="489"/>
    <x v="2"/>
    <x v="410"/>
    <d v="2023-06-07T00:00:00"/>
    <n v="39510.879999999997"/>
    <x v="0"/>
    <n v="30"/>
    <n v="0"/>
    <x v="0"/>
  </r>
  <r>
    <x v="490"/>
    <x v="2"/>
    <x v="275"/>
    <d v="2025-07-30T00:00:00"/>
    <n v="17196.34"/>
    <x v="0"/>
    <n v="30"/>
    <n v="0"/>
    <x v="0"/>
  </r>
  <r>
    <x v="491"/>
    <x v="3"/>
    <x v="411"/>
    <d v="2023-04-09T00:00:00"/>
    <n v="2561.16"/>
    <x v="1"/>
    <n v="30"/>
    <n v="1255"/>
    <x v="1"/>
  </r>
  <r>
    <x v="492"/>
    <x v="3"/>
    <x v="140"/>
    <d v="2025-06-28T00:00:00"/>
    <n v="19698.79"/>
    <x v="0"/>
    <n v="30"/>
    <n v="0"/>
    <x v="0"/>
  </r>
  <r>
    <x v="493"/>
    <x v="2"/>
    <x v="140"/>
    <d v="2025-06-28T00:00:00"/>
    <n v="41002.019999999997"/>
    <x v="0"/>
    <n v="30"/>
    <n v="0"/>
    <x v="0"/>
  </r>
  <r>
    <x v="494"/>
    <x v="4"/>
    <x v="412"/>
    <d v="2026-04-10T00:00:00"/>
    <n v="44191.65"/>
    <x v="0"/>
    <n v="30"/>
    <n v="0"/>
    <x v="0"/>
  </r>
  <r>
    <x v="495"/>
    <x v="1"/>
    <x v="413"/>
    <d v="2024-08-27T00:00:00"/>
    <n v="46847.85"/>
    <x v="0"/>
    <n v="30"/>
    <n v="0"/>
    <x v="0"/>
  </r>
  <r>
    <x v="496"/>
    <x v="4"/>
    <x v="227"/>
    <d v="2026-03-24T00:00:00"/>
    <n v="21074.080000000002"/>
    <x v="1"/>
    <n v="30"/>
    <n v="175"/>
    <x v="1"/>
  </r>
  <r>
    <x v="497"/>
    <x v="2"/>
    <x v="414"/>
    <d v="2023-06-21T00:00:00"/>
    <n v="40445.730000000003"/>
    <x v="0"/>
    <n v="30"/>
    <n v="0"/>
    <x v="0"/>
  </r>
  <r>
    <x v="498"/>
    <x v="0"/>
    <x v="415"/>
    <d v="2024-04-17T00:00:00"/>
    <n v="33125.599999999999"/>
    <x v="0"/>
    <n v="30"/>
    <n v="0"/>
    <x v="0"/>
  </r>
  <r>
    <x v="499"/>
    <x v="3"/>
    <x v="416"/>
    <d v="2026-07-19T00:00:00"/>
    <n v="11374.74"/>
    <x v="0"/>
    <n v="3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28A5D5-CB96-4C9F-B4C6-337CCB3FD2CE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28:B33" firstHeaderRow="1" firstDataRow="1" firstDataCol="1" rowPageCount="1" colPageCount="1"/>
  <pivotFields count="10">
    <pivotField showAll="0"/>
    <pivotField axis="axisRow" showAll="0" sortType="descending">
      <items count="7">
        <item x="1"/>
        <item x="3"/>
        <item x="4"/>
        <item x="2"/>
        <item x="0"/>
        <item m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418">
        <item x="14"/>
        <item x="157"/>
        <item x="47"/>
        <item x="310"/>
        <item x="74"/>
        <item x="297"/>
        <item x="77"/>
        <item x="158"/>
        <item x="100"/>
        <item x="119"/>
        <item x="386"/>
        <item x="263"/>
        <item x="63"/>
        <item x="25"/>
        <item x="31"/>
        <item x="363"/>
        <item x="182"/>
        <item x="228"/>
        <item x="45"/>
        <item x="159"/>
        <item x="138"/>
        <item x="411"/>
        <item x="130"/>
        <item x="71"/>
        <item x="163"/>
        <item x="106"/>
        <item x="405"/>
        <item x="328"/>
        <item x="265"/>
        <item x="174"/>
        <item x="318"/>
        <item x="110"/>
        <item x="237"/>
        <item x="6"/>
        <item x="192"/>
        <item x="184"/>
        <item x="377"/>
        <item x="357"/>
        <item x="223"/>
        <item x="309"/>
        <item x="141"/>
        <item x="185"/>
        <item x="410"/>
        <item x="178"/>
        <item x="333"/>
        <item x="104"/>
        <item x="49"/>
        <item x="414"/>
        <item x="355"/>
        <item x="349"/>
        <item x="134"/>
        <item x="116"/>
        <item x="16"/>
        <item x="165"/>
        <item x="145"/>
        <item x="170"/>
        <item x="220"/>
        <item x="216"/>
        <item x="307"/>
        <item x="79"/>
        <item x="284"/>
        <item x="137"/>
        <item x="352"/>
        <item x="398"/>
        <item x="60"/>
        <item x="337"/>
        <item x="70"/>
        <item x="40"/>
        <item x="112"/>
        <item x="121"/>
        <item x="173"/>
        <item x="37"/>
        <item x="382"/>
        <item x="249"/>
        <item x="120"/>
        <item x="126"/>
        <item x="4"/>
        <item x="356"/>
        <item x="319"/>
        <item x="212"/>
        <item x="146"/>
        <item x="239"/>
        <item x="260"/>
        <item x="302"/>
        <item x="367"/>
        <item x="188"/>
        <item x="111"/>
        <item x="314"/>
        <item x="54"/>
        <item x="343"/>
        <item x="35"/>
        <item x="395"/>
        <item x="207"/>
        <item x="66"/>
        <item x="101"/>
        <item x="19"/>
        <item x="122"/>
        <item x="240"/>
        <item x="339"/>
        <item x="155"/>
        <item x="52"/>
        <item x="306"/>
        <item x="252"/>
        <item x="308"/>
        <item x="202"/>
        <item x="381"/>
        <item x="200"/>
        <item x="114"/>
        <item x="287"/>
        <item x="2"/>
        <item x="198"/>
        <item x="78"/>
        <item x="391"/>
        <item x="299"/>
        <item x="253"/>
        <item x="18"/>
        <item x="371"/>
        <item x="44"/>
        <item x="172"/>
        <item x="164"/>
        <item x="359"/>
        <item x="269"/>
        <item x="274"/>
        <item x="187"/>
        <item x="242"/>
        <item x="369"/>
        <item x="300"/>
        <item x="20"/>
        <item x="53"/>
        <item x="152"/>
        <item x="147"/>
        <item x="0"/>
        <item x="400"/>
        <item x="210"/>
        <item x="255"/>
        <item x="108"/>
        <item x="305"/>
        <item x="336"/>
        <item x="415"/>
        <item x="373"/>
        <item x="361"/>
        <item x="293"/>
        <item x="69"/>
        <item x="372"/>
        <item x="197"/>
        <item x="387"/>
        <item x="247"/>
        <item x="191"/>
        <item x="313"/>
        <item x="72"/>
        <item x="334"/>
        <item x="397"/>
        <item x="266"/>
        <item x="350"/>
        <item x="80"/>
        <item x="262"/>
        <item x="295"/>
        <item x="22"/>
        <item x="150"/>
        <item x="139"/>
        <item x="288"/>
        <item x="109"/>
        <item x="24"/>
        <item x="183"/>
        <item x="48"/>
        <item x="354"/>
        <item x="323"/>
        <item x="311"/>
        <item x="404"/>
        <item x="385"/>
        <item x="345"/>
        <item x="241"/>
        <item x="272"/>
        <item x="279"/>
        <item x="245"/>
        <item x="57"/>
        <item x="281"/>
        <item x="394"/>
        <item x="12"/>
        <item x="277"/>
        <item x="167"/>
        <item x="194"/>
        <item x="208"/>
        <item x="171"/>
        <item x="375"/>
        <item x="224"/>
        <item x="211"/>
        <item x="390"/>
        <item x="304"/>
        <item x="413"/>
        <item x="301"/>
        <item x="344"/>
        <item x="92"/>
        <item x="280"/>
        <item x="290"/>
        <item x="317"/>
        <item x="407"/>
        <item x="34"/>
        <item x="98"/>
        <item x="17"/>
        <item x="331"/>
        <item x="56"/>
        <item x="229"/>
        <item x="409"/>
        <item x="276"/>
        <item x="1"/>
        <item x="353"/>
        <item x="244"/>
        <item x="209"/>
        <item x="251"/>
        <item x="325"/>
        <item x="291"/>
        <item x="169"/>
        <item x="11"/>
        <item x="64"/>
        <item x="368"/>
        <item x="128"/>
        <item x="289"/>
        <item x="129"/>
        <item x="180"/>
        <item x="259"/>
        <item x="41"/>
        <item x="285"/>
        <item x="91"/>
        <item x="403"/>
        <item x="358"/>
        <item x="142"/>
        <item x="68"/>
        <item x="9"/>
        <item x="190"/>
        <item x="226"/>
        <item x="283"/>
        <item x="321"/>
        <item x="5"/>
        <item x="61"/>
        <item x="406"/>
        <item x="312"/>
        <item x="332"/>
        <item x="278"/>
        <item x="374"/>
        <item x="234"/>
        <item x="340"/>
        <item x="218"/>
        <item x="136"/>
        <item x="219"/>
        <item x="115"/>
        <item x="36"/>
        <item x="73"/>
        <item x="148"/>
        <item x="248"/>
        <item x="303"/>
        <item x="365"/>
        <item x="82"/>
        <item x="195"/>
        <item x="320"/>
        <item x="392"/>
        <item x="143"/>
        <item x="346"/>
        <item x="316"/>
        <item x="399"/>
        <item x="55"/>
        <item x="125"/>
        <item x="388"/>
        <item x="380"/>
        <item x="42"/>
        <item x="102"/>
        <item x="396"/>
        <item x="50"/>
        <item x="246"/>
        <item x="118"/>
        <item x="342"/>
        <item x="103"/>
        <item x="94"/>
        <item x="3"/>
        <item x="341"/>
        <item x="326"/>
        <item x="96"/>
        <item x="362"/>
        <item x="176"/>
        <item x="213"/>
        <item x="271"/>
        <item x="214"/>
        <item x="65"/>
        <item x="62"/>
        <item x="46"/>
        <item x="273"/>
        <item x="204"/>
        <item x="376"/>
        <item x="39"/>
        <item x="205"/>
        <item x="140"/>
        <item x="232"/>
        <item x="175"/>
        <item x="186"/>
        <item x="348"/>
        <item x="298"/>
        <item x="370"/>
        <item x="89"/>
        <item x="160"/>
        <item x="10"/>
        <item x="275"/>
        <item x="90"/>
        <item x="264"/>
        <item x="67"/>
        <item x="254"/>
        <item x="151"/>
        <item x="21"/>
        <item x="225"/>
        <item x="402"/>
        <item x="201"/>
        <item x="236"/>
        <item x="324"/>
        <item x="231"/>
        <item x="250"/>
        <item x="203"/>
        <item x="181"/>
        <item x="107"/>
        <item x="233"/>
        <item x="330"/>
        <item x="28"/>
        <item x="168"/>
        <item x="322"/>
        <item x="364"/>
        <item x="401"/>
        <item x="206"/>
        <item x="179"/>
        <item x="15"/>
        <item x="84"/>
        <item x="97"/>
        <item x="59"/>
        <item x="51"/>
        <item x="99"/>
        <item x="105"/>
        <item x="351"/>
        <item x="408"/>
        <item x="133"/>
        <item x="393"/>
        <item x="257"/>
        <item x="30"/>
        <item x="58"/>
        <item x="286"/>
        <item x="166"/>
        <item x="215"/>
        <item x="32"/>
        <item x="243"/>
        <item x="7"/>
        <item x="33"/>
        <item x="75"/>
        <item x="296"/>
        <item x="161"/>
        <item x="156"/>
        <item x="238"/>
        <item x="162"/>
        <item x="347"/>
        <item x="315"/>
        <item x="230"/>
        <item x="282"/>
        <item x="123"/>
        <item x="267"/>
        <item x="149"/>
        <item x="227"/>
        <item x="256"/>
        <item x="127"/>
        <item x="360"/>
        <item x="26"/>
        <item x="412"/>
        <item x="221"/>
        <item x="389"/>
        <item x="261"/>
        <item x="86"/>
        <item x="294"/>
        <item x="338"/>
        <item x="131"/>
        <item x="384"/>
        <item x="199"/>
        <item x="154"/>
        <item x="83"/>
        <item x="177"/>
        <item x="189"/>
        <item x="81"/>
        <item x="113"/>
        <item x="327"/>
        <item x="378"/>
        <item x="23"/>
        <item x="95"/>
        <item x="193"/>
        <item x="135"/>
        <item x="379"/>
        <item x="88"/>
        <item x="416"/>
        <item x="383"/>
        <item x="335"/>
        <item x="85"/>
        <item x="235"/>
        <item x="76"/>
        <item x="117"/>
        <item x="8"/>
        <item x="196"/>
        <item x="366"/>
        <item x="258"/>
        <item x="132"/>
        <item x="268"/>
        <item x="217"/>
        <item x="27"/>
        <item x="144"/>
        <item x="43"/>
        <item x="329"/>
        <item x="153"/>
        <item x="222"/>
        <item x="124"/>
        <item x="29"/>
        <item x="38"/>
        <item x="13"/>
        <item x="93"/>
        <item x="270"/>
        <item x="292"/>
        <item x="87"/>
        <item t="default"/>
      </items>
    </pivotField>
    <pivotField numFmtId="14" showAll="0"/>
    <pivotField dataField="1" numFmtId="43" showAll="0"/>
    <pivotField axis="axisPage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5">
    <i>
      <x v="3"/>
    </i>
    <i>
      <x/>
    </i>
    <i>
      <x v="4"/>
    </i>
    <i>
      <x v="2"/>
    </i>
    <i>
      <x v="1"/>
    </i>
  </rowItems>
  <colItems count="1">
    <i/>
  </colItems>
  <pageFields count="1">
    <pageField fld="5" item="1" hier="-1"/>
  </pageFields>
  <dataFields count="1">
    <dataField name="Sum of Invoice Amount" fld="4" baseField="0" baseItem="0" numFmtId="43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7170BA-828F-4763-A78A-6C67302CA000}" name="Table1" displayName="Table1" ref="A1:I501" totalsRowShown="0" headerRowDxfId="8">
  <autoFilter ref="A1:I501" xr:uid="{B87170BA-828F-4763-A78A-6C67302CA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E9C62CF7-931F-4C77-BCF6-02EB509BF3D8}" name="Invoice ID"/>
    <tableColumn id="2" xr3:uid="{4517A7E9-1FB6-4DF4-899F-BBAAA435C4B3}" name="Customer ID"/>
    <tableColumn id="3" xr3:uid="{CEBB1790-B5FE-4061-BE88-EDD725EB3280}" name="Invoice Date" dataDxfId="7" totalsRowDxfId="6"/>
    <tableColumn id="4" xr3:uid="{66C58044-0255-4D57-9F03-F01AB23B1D91}" name="Due Date" dataDxfId="5" totalsRowDxfId="4"/>
    <tableColumn id="5" xr3:uid="{25855BDC-49F3-4755-B6B3-DFE07DAD481D}" name="Invoice Amount" dataDxfId="3" dataCellStyle="Comma"/>
    <tableColumn id="6" xr3:uid="{7D8C1FBB-09F2-4069-AFC6-9336EEF71B1C}" name="Status"/>
    <tableColumn id="7" xr3:uid="{F7C96C2D-4944-4FD9-91A2-308BB286C5C2}" name="Credit Terms(Days)"/>
    <tableColumn id="8" xr3:uid="{54D6AEC0-5A8F-409F-B6B2-8407D9D5F979}" name="Days Overdue">
      <calculatedColumnFormula>IF(F2="Unpaid", TODAY() - D2, 0)</calculatedColumnFormula>
    </tableColumn>
    <tableColumn id="10" xr3:uid="{50DFC43F-7861-43EB-8825-D76593CB1783}" name="Aging Category" dataDxfId="2">
      <calculatedColumnFormula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EB38-7DA0-4C56-B273-C39E2374265B}">
  <dimension ref="A1:E33"/>
  <sheetViews>
    <sheetView showGridLines="0" tabSelected="1" zoomScale="90" zoomScaleNormal="90" workbookViewId="0">
      <selection activeCell="C17" sqref="C17"/>
    </sheetView>
  </sheetViews>
  <sheetFormatPr defaultRowHeight="14.5" x14ac:dyDescent="0.35"/>
  <cols>
    <col min="1" max="1" width="25" bestFit="1" customWidth="1"/>
    <col min="2" max="2" width="22.453125" customWidth="1"/>
    <col min="3" max="3" width="24" bestFit="1" customWidth="1"/>
    <col min="4" max="6" width="11.1796875" bestFit="1" customWidth="1"/>
    <col min="7" max="7" width="12.7265625" bestFit="1" customWidth="1"/>
  </cols>
  <sheetData>
    <row r="1" spans="1:5" ht="23.5" x14ac:dyDescent="0.55000000000000004">
      <c r="A1" s="15" t="s">
        <v>527</v>
      </c>
      <c r="B1" s="15"/>
      <c r="C1" s="15"/>
      <c r="D1" s="15"/>
      <c r="E1" s="15"/>
    </row>
    <row r="3" spans="1:5" ht="18.5" x14ac:dyDescent="0.45">
      <c r="A3" s="7" t="s">
        <v>518</v>
      </c>
      <c r="B3" s="10">
        <f>SUMIF(Table1[Status],"Unpaid",Table1[Invoice Amount])</f>
        <v>1987739.4899999998</v>
      </c>
    </row>
    <row r="4" spans="1:5" ht="18.5" x14ac:dyDescent="0.45">
      <c r="A4" s="7" t="s">
        <v>519</v>
      </c>
      <c r="B4" s="11">
        <f>B3/(SUM(Table1[Invoice Amount]))</f>
        <v>0.15413004504703623</v>
      </c>
    </row>
    <row r="5" spans="1:5" ht="18.5" x14ac:dyDescent="0.45">
      <c r="A5" s="7" t="s">
        <v>520</v>
      </c>
      <c r="B5" s="12">
        <f>COUNTIF(Table1[Status],"Unpaid")</f>
        <v>85</v>
      </c>
    </row>
    <row r="8" spans="1:5" ht="18.5" x14ac:dyDescent="0.45">
      <c r="A8" s="9" t="s">
        <v>509</v>
      </c>
      <c r="B8" s="9" t="s">
        <v>521</v>
      </c>
      <c r="C8" s="9" t="s">
        <v>526</v>
      </c>
    </row>
    <row r="9" spans="1:5" x14ac:dyDescent="0.35">
      <c r="A9" s="8" t="s">
        <v>523</v>
      </c>
      <c r="B9" s="1">
        <f ca="1">SUMIF(Table1[Aging Category],A9,Table1[Invoice Amount])</f>
        <v>78495.87</v>
      </c>
      <c r="C9">
        <f ca="1">COUNTIF(Table1[Aging Category],A9)</f>
        <v>2</v>
      </c>
    </row>
    <row r="10" spans="1:5" x14ac:dyDescent="0.35">
      <c r="A10" t="s">
        <v>524</v>
      </c>
      <c r="B10" s="1">
        <f ca="1">SUMIF(Table1[Aging Category],A10,Table1[Invoice Amount])</f>
        <v>59767.11</v>
      </c>
      <c r="C10">
        <f ca="1">COUNTIF(Table1[Aging Category],A10)</f>
        <v>2</v>
      </c>
    </row>
    <row r="11" spans="1:5" x14ac:dyDescent="0.35">
      <c r="A11" t="s">
        <v>525</v>
      </c>
      <c r="B11" s="1">
        <f ca="1">SUMIF(Table1[Aging Category],A11,Table1[Invoice Amount])</f>
        <v>64543.569999999992</v>
      </c>
      <c r="C11">
        <f ca="1">COUNTIF(Table1[Aging Category],A11)</f>
        <v>3</v>
      </c>
    </row>
    <row r="12" spans="1:5" x14ac:dyDescent="0.35">
      <c r="A12" t="s">
        <v>522</v>
      </c>
      <c r="B12" s="1">
        <f ca="1">SUMIF(Table1[Aging Category],A12,Table1[Invoice Amount])</f>
        <v>1784932.94</v>
      </c>
      <c r="C12">
        <f ca="1">COUNTIF(Table1[Aging Category],A12)</f>
        <v>78</v>
      </c>
    </row>
    <row r="14" spans="1:5" x14ac:dyDescent="0.35">
      <c r="B14" s="1"/>
    </row>
    <row r="26" spans="1:2" x14ac:dyDescent="0.35">
      <c r="A26" s="5" t="s">
        <v>0</v>
      </c>
      <c r="B26" t="s">
        <v>18</v>
      </c>
    </row>
    <row r="28" spans="1:2" x14ac:dyDescent="0.35">
      <c r="A28" s="5" t="s">
        <v>515</v>
      </c>
      <c r="B28" t="s">
        <v>516</v>
      </c>
    </row>
    <row r="29" spans="1:2" x14ac:dyDescent="0.35">
      <c r="A29" s="6" t="s">
        <v>7</v>
      </c>
      <c r="B29" s="3">
        <v>560601.29</v>
      </c>
    </row>
    <row r="30" spans="1:2" x14ac:dyDescent="0.35">
      <c r="A30" s="6" t="s">
        <v>5</v>
      </c>
      <c r="B30" s="3">
        <v>481270.58</v>
      </c>
    </row>
    <row r="31" spans="1:2" x14ac:dyDescent="0.35">
      <c r="A31" s="6" t="s">
        <v>2</v>
      </c>
      <c r="B31" s="3">
        <v>400940.64999999997</v>
      </c>
    </row>
    <row r="32" spans="1:2" x14ac:dyDescent="0.35">
      <c r="A32" s="6" t="s">
        <v>11</v>
      </c>
      <c r="B32" s="3">
        <v>299263.82</v>
      </c>
    </row>
    <row r="33" spans="1:2" x14ac:dyDescent="0.35">
      <c r="A33" s="6" t="s">
        <v>9</v>
      </c>
      <c r="B33" s="3">
        <v>245663.15</v>
      </c>
    </row>
  </sheetData>
  <mergeCells count="1">
    <mergeCell ref="A1:E1"/>
  </mergeCell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B1E3-D5EE-4E9D-83B7-6C7DC3BDD998}">
  <dimension ref="A1:K501"/>
  <sheetViews>
    <sheetView workbookViewId="0">
      <pane ySplit="1" topLeftCell="A404" activePane="bottomLeft" state="frozen"/>
      <selection pane="bottomLeft" activeCell="K414" sqref="K414"/>
    </sheetView>
  </sheetViews>
  <sheetFormatPr defaultRowHeight="14.5" x14ac:dyDescent="0.35"/>
  <cols>
    <col min="1" max="1" width="11.81640625" customWidth="1"/>
    <col min="2" max="2" width="12" customWidth="1"/>
    <col min="3" max="3" width="12.7265625" customWidth="1"/>
    <col min="4" max="4" width="12" customWidth="1"/>
    <col min="5" max="5" width="13.81640625" bestFit="1" customWidth="1"/>
    <col min="6" max="6" width="8.7265625" customWidth="1"/>
    <col min="7" max="7" width="14.81640625" customWidth="1"/>
    <col min="8" max="8" width="10.08984375" bestFit="1" customWidth="1"/>
    <col min="9" max="9" width="11" style="14" customWidth="1"/>
    <col min="10" max="10" width="15.7265625" customWidth="1"/>
    <col min="11" max="11" width="17.54296875" customWidth="1"/>
    <col min="12" max="12" width="10.81640625" customWidth="1"/>
    <col min="13" max="13" width="12.08984375" customWidth="1"/>
  </cols>
  <sheetData>
    <row r="1" spans="1:11" ht="37" x14ac:dyDescent="0.45">
      <c r="A1" s="2" t="s">
        <v>514</v>
      </c>
      <c r="B1" s="2" t="s">
        <v>513</v>
      </c>
      <c r="C1" s="2" t="s">
        <v>512</v>
      </c>
      <c r="D1" s="2" t="s">
        <v>511</v>
      </c>
      <c r="E1" s="2" t="s">
        <v>510</v>
      </c>
      <c r="F1" s="2" t="s">
        <v>0</v>
      </c>
      <c r="G1" s="2" t="s">
        <v>508</v>
      </c>
      <c r="H1" s="2" t="s">
        <v>509</v>
      </c>
      <c r="I1" s="13" t="s">
        <v>517</v>
      </c>
    </row>
    <row r="2" spans="1:11" x14ac:dyDescent="0.35">
      <c r="A2" t="s">
        <v>1</v>
      </c>
      <c r="B2" t="s">
        <v>2</v>
      </c>
      <c r="C2" s="4">
        <v>45351</v>
      </c>
      <c r="D2" s="4">
        <v>45381</v>
      </c>
      <c r="E2" s="1">
        <v>34713.660000000003</v>
      </c>
      <c r="F2" t="s">
        <v>3</v>
      </c>
      <c r="G2">
        <f t="shared" ref="G2:G65" si="0">D2-C2</f>
        <v>30</v>
      </c>
      <c r="H2">
        <f t="shared" ref="H2:H65" ca="1" si="1">IF(F2="Unpaid", TODAY() - D2, 0)</f>
        <v>0</v>
      </c>
      <c r="I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" spans="1:11" x14ac:dyDescent="0.35">
      <c r="A3" t="s">
        <v>4</v>
      </c>
      <c r="B3" t="s">
        <v>5</v>
      </c>
      <c r="C3" s="4">
        <v>45563</v>
      </c>
      <c r="D3" s="4">
        <v>45593</v>
      </c>
      <c r="E3" s="1">
        <v>8057.16</v>
      </c>
      <c r="F3" t="s">
        <v>3</v>
      </c>
      <c r="G3">
        <f t="shared" si="0"/>
        <v>30</v>
      </c>
      <c r="H3">
        <f t="shared" ca="1" si="1"/>
        <v>0</v>
      </c>
      <c r="I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" spans="1:11" x14ac:dyDescent="0.35">
      <c r="A4" t="s">
        <v>6</v>
      </c>
      <c r="B4" t="s">
        <v>7</v>
      </c>
      <c r="C4" s="4">
        <v>45284</v>
      </c>
      <c r="D4" s="4">
        <v>45314</v>
      </c>
      <c r="E4" s="1">
        <v>29347.119999999999</v>
      </c>
      <c r="F4" t="s">
        <v>3</v>
      </c>
      <c r="G4">
        <f t="shared" si="0"/>
        <v>30</v>
      </c>
      <c r="H4">
        <f t="shared" ca="1" si="1"/>
        <v>0</v>
      </c>
      <c r="I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5" spans="1:11" x14ac:dyDescent="0.35">
      <c r="A5" t="s">
        <v>8</v>
      </c>
      <c r="B5" t="s">
        <v>9</v>
      </c>
      <c r="C5" s="4">
        <v>45764</v>
      </c>
      <c r="D5" s="4">
        <v>45794</v>
      </c>
      <c r="E5" s="1">
        <v>39456.660000000003</v>
      </c>
      <c r="F5" t="s">
        <v>3</v>
      </c>
      <c r="G5">
        <f t="shared" si="0"/>
        <v>30</v>
      </c>
      <c r="H5">
        <f t="shared" ca="1" si="1"/>
        <v>0</v>
      </c>
      <c r="I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6" spans="1:11" x14ac:dyDescent="0.35">
      <c r="A6" t="s">
        <v>10</v>
      </c>
      <c r="B6" t="s">
        <v>11</v>
      </c>
      <c r="C6" s="4">
        <v>45159</v>
      </c>
      <c r="D6" s="4">
        <v>45189</v>
      </c>
      <c r="E6" s="1">
        <v>39821.57</v>
      </c>
      <c r="F6" t="s">
        <v>3</v>
      </c>
      <c r="G6">
        <f t="shared" si="0"/>
        <v>30</v>
      </c>
      <c r="H6">
        <f t="shared" ca="1" si="1"/>
        <v>0</v>
      </c>
      <c r="I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7" spans="1:11" x14ac:dyDescent="0.35">
      <c r="A7" t="s">
        <v>12</v>
      </c>
      <c r="B7" t="s">
        <v>9</v>
      </c>
      <c r="C7" s="4">
        <v>45669</v>
      </c>
      <c r="D7" s="4">
        <v>45699</v>
      </c>
      <c r="E7" s="1">
        <v>32333.46</v>
      </c>
      <c r="F7" t="s">
        <v>3</v>
      </c>
      <c r="G7">
        <f t="shared" si="0"/>
        <v>30</v>
      </c>
      <c r="H7">
        <f t="shared" ca="1" si="1"/>
        <v>0</v>
      </c>
      <c r="I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8" spans="1:11" x14ac:dyDescent="0.35">
      <c r="A8" t="s">
        <v>13</v>
      </c>
      <c r="B8" t="s">
        <v>7</v>
      </c>
      <c r="C8" s="4">
        <v>45033</v>
      </c>
      <c r="D8" s="4">
        <v>45063</v>
      </c>
      <c r="E8" s="1">
        <v>1849.96</v>
      </c>
      <c r="F8" t="s">
        <v>3</v>
      </c>
      <c r="G8">
        <f t="shared" si="0"/>
        <v>30</v>
      </c>
      <c r="H8">
        <f t="shared" ca="1" si="1"/>
        <v>0</v>
      </c>
      <c r="I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9" spans="1:11" x14ac:dyDescent="0.35">
      <c r="A9" t="s">
        <v>14</v>
      </c>
      <c r="B9" t="s">
        <v>2</v>
      </c>
      <c r="C9" s="4">
        <v>46012</v>
      </c>
      <c r="D9" s="4">
        <v>46042</v>
      </c>
      <c r="E9" s="1">
        <v>46639.41</v>
      </c>
      <c r="F9" t="s">
        <v>3</v>
      </c>
      <c r="G9">
        <f t="shared" si="0"/>
        <v>30</v>
      </c>
      <c r="H9">
        <f t="shared" ca="1" si="1"/>
        <v>0</v>
      </c>
      <c r="I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0" spans="1:11" x14ac:dyDescent="0.35">
      <c r="A10" t="s">
        <v>15</v>
      </c>
      <c r="B10" t="s">
        <v>9</v>
      </c>
      <c r="C10" s="4">
        <v>46205</v>
      </c>
      <c r="D10" s="4">
        <v>46235</v>
      </c>
      <c r="E10" s="1">
        <v>39972.6</v>
      </c>
      <c r="F10" t="s">
        <v>3</v>
      </c>
      <c r="G10">
        <f t="shared" si="0"/>
        <v>30</v>
      </c>
      <c r="H10">
        <f t="shared" ca="1" si="1"/>
        <v>0</v>
      </c>
      <c r="I1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1" spans="1:11" x14ac:dyDescent="0.35">
      <c r="A11" t="s">
        <v>16</v>
      </c>
      <c r="B11" t="s">
        <v>5</v>
      </c>
      <c r="C11" s="4">
        <v>45650</v>
      </c>
      <c r="D11" s="4">
        <v>45680</v>
      </c>
      <c r="E11" s="1">
        <v>49580.959999999999</v>
      </c>
      <c r="F11" t="s">
        <v>3</v>
      </c>
      <c r="G11">
        <f t="shared" si="0"/>
        <v>30</v>
      </c>
      <c r="H11">
        <f t="shared" ca="1" si="1"/>
        <v>0</v>
      </c>
      <c r="I1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  <c r="K11" s="3"/>
    </row>
    <row r="12" spans="1:11" x14ac:dyDescent="0.35">
      <c r="A12" t="s">
        <v>17</v>
      </c>
      <c r="B12" t="s">
        <v>7</v>
      </c>
      <c r="C12" s="4">
        <v>45833</v>
      </c>
      <c r="D12" s="4">
        <v>45863</v>
      </c>
      <c r="E12" s="1">
        <v>22943.82</v>
      </c>
      <c r="F12" t="s">
        <v>18</v>
      </c>
      <c r="G12">
        <f t="shared" si="0"/>
        <v>30</v>
      </c>
      <c r="H12">
        <f t="shared" ca="1" si="1"/>
        <v>425</v>
      </c>
      <c r="I12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13" spans="1:11" x14ac:dyDescent="0.35">
      <c r="A13" t="s">
        <v>19</v>
      </c>
      <c r="B13" t="s">
        <v>9</v>
      </c>
      <c r="C13" s="4">
        <v>45593</v>
      </c>
      <c r="D13" s="4">
        <v>45623</v>
      </c>
      <c r="E13" s="1">
        <v>32105.71</v>
      </c>
      <c r="F13" t="s">
        <v>3</v>
      </c>
      <c r="G13">
        <f t="shared" si="0"/>
        <v>30</v>
      </c>
      <c r="H13">
        <f t="shared" ca="1" si="1"/>
        <v>0</v>
      </c>
      <c r="I1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4" spans="1:11" x14ac:dyDescent="0.35">
      <c r="A14" t="s">
        <v>20</v>
      </c>
      <c r="B14" t="s">
        <v>7</v>
      </c>
      <c r="C14" s="4">
        <v>45481</v>
      </c>
      <c r="D14" s="4">
        <v>45511</v>
      </c>
      <c r="E14" s="1">
        <v>35940.04</v>
      </c>
      <c r="F14" t="s">
        <v>3</v>
      </c>
      <c r="G14">
        <f t="shared" si="0"/>
        <v>30</v>
      </c>
      <c r="H14">
        <f t="shared" ca="1" si="1"/>
        <v>0</v>
      </c>
      <c r="I1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5" spans="1:11" x14ac:dyDescent="0.35">
      <c r="A15" t="s">
        <v>21</v>
      </c>
      <c r="B15" t="s">
        <v>9</v>
      </c>
      <c r="C15" s="4">
        <v>46248</v>
      </c>
      <c r="D15" s="4">
        <v>46278</v>
      </c>
      <c r="E15" s="1">
        <v>19584.03</v>
      </c>
      <c r="F15" t="s">
        <v>3</v>
      </c>
      <c r="G15">
        <f t="shared" si="0"/>
        <v>30</v>
      </c>
      <c r="H15">
        <f t="shared" ca="1" si="1"/>
        <v>0</v>
      </c>
      <c r="I1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6" spans="1:11" x14ac:dyDescent="0.35">
      <c r="A16" t="s">
        <v>22</v>
      </c>
      <c r="B16" t="s">
        <v>11</v>
      </c>
      <c r="C16" s="4">
        <v>44930</v>
      </c>
      <c r="D16" s="4">
        <v>44960</v>
      </c>
      <c r="E16" s="1">
        <v>9293.06</v>
      </c>
      <c r="F16" t="s">
        <v>3</v>
      </c>
      <c r="G16">
        <f t="shared" si="0"/>
        <v>30</v>
      </c>
      <c r="H16">
        <f t="shared" ca="1" si="1"/>
        <v>0</v>
      </c>
      <c r="I1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7" spans="1:9" x14ac:dyDescent="0.35">
      <c r="A17" t="s">
        <v>23</v>
      </c>
      <c r="B17" t="s">
        <v>11</v>
      </c>
      <c r="C17" s="4">
        <v>45927</v>
      </c>
      <c r="D17" s="4">
        <v>45957</v>
      </c>
      <c r="E17" s="1">
        <v>29759.1</v>
      </c>
      <c r="F17" t="s">
        <v>3</v>
      </c>
      <c r="G17">
        <f t="shared" si="0"/>
        <v>30</v>
      </c>
      <c r="H17">
        <f t="shared" ca="1" si="1"/>
        <v>0</v>
      </c>
      <c r="I1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8" spans="1:9" x14ac:dyDescent="0.35">
      <c r="A18" t="s">
        <v>24</v>
      </c>
      <c r="B18" t="s">
        <v>9</v>
      </c>
      <c r="C18" s="4">
        <v>45079</v>
      </c>
      <c r="D18" s="4">
        <v>45109</v>
      </c>
      <c r="E18" s="1">
        <v>45611.11</v>
      </c>
      <c r="F18" t="s">
        <v>3</v>
      </c>
      <c r="G18">
        <f t="shared" si="0"/>
        <v>30</v>
      </c>
      <c r="H18">
        <f t="shared" ca="1" si="1"/>
        <v>0</v>
      </c>
      <c r="I1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9" spans="1:9" x14ac:dyDescent="0.35">
      <c r="A19" t="s">
        <v>25</v>
      </c>
      <c r="B19" t="s">
        <v>5</v>
      </c>
      <c r="C19" s="4">
        <v>45544</v>
      </c>
      <c r="D19" s="4">
        <v>45574</v>
      </c>
      <c r="E19" s="1">
        <v>13052.06</v>
      </c>
      <c r="F19" t="s">
        <v>18</v>
      </c>
      <c r="G19">
        <f t="shared" si="0"/>
        <v>30</v>
      </c>
      <c r="H19">
        <f t="shared" ca="1" si="1"/>
        <v>714</v>
      </c>
      <c r="I19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0" spans="1:9" x14ac:dyDescent="0.35">
      <c r="A20" t="s">
        <v>26</v>
      </c>
      <c r="B20" t="s">
        <v>7</v>
      </c>
      <c r="C20" s="4">
        <v>45312</v>
      </c>
      <c r="D20" s="4">
        <v>45342</v>
      </c>
      <c r="E20" s="1">
        <v>43409.96</v>
      </c>
      <c r="F20" t="s">
        <v>3</v>
      </c>
      <c r="G20">
        <f t="shared" si="0"/>
        <v>30</v>
      </c>
      <c r="H20">
        <f t="shared" ca="1" si="1"/>
        <v>0</v>
      </c>
      <c r="I2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1" spans="1:9" x14ac:dyDescent="0.35">
      <c r="A21" t="s">
        <v>27</v>
      </c>
      <c r="B21" t="s">
        <v>11</v>
      </c>
      <c r="C21" s="4">
        <v>45210</v>
      </c>
      <c r="D21" s="4">
        <v>45240</v>
      </c>
      <c r="E21" s="1">
        <v>4120.41</v>
      </c>
      <c r="F21" t="s">
        <v>3</v>
      </c>
      <c r="G21">
        <f t="shared" si="0"/>
        <v>30</v>
      </c>
      <c r="H21">
        <f t="shared" ca="1" si="1"/>
        <v>0</v>
      </c>
      <c r="I2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2" spans="1:9" x14ac:dyDescent="0.35">
      <c r="A22" t="s">
        <v>28</v>
      </c>
      <c r="B22" t="s">
        <v>7</v>
      </c>
      <c r="C22" s="4">
        <v>45338</v>
      </c>
      <c r="D22" s="4">
        <v>45368</v>
      </c>
      <c r="E22" s="1">
        <v>19167.099999999999</v>
      </c>
      <c r="F22" t="s">
        <v>3</v>
      </c>
      <c r="G22">
        <f t="shared" si="0"/>
        <v>30</v>
      </c>
      <c r="H22">
        <f t="shared" ca="1" si="1"/>
        <v>0</v>
      </c>
      <c r="I2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3" spans="1:9" x14ac:dyDescent="0.35">
      <c r="A23" t="s">
        <v>29</v>
      </c>
      <c r="B23" t="s">
        <v>9</v>
      </c>
      <c r="C23" s="4">
        <v>45863</v>
      </c>
      <c r="D23" s="4">
        <v>45893</v>
      </c>
      <c r="E23" s="1">
        <v>11033.18</v>
      </c>
      <c r="F23" t="s">
        <v>3</v>
      </c>
      <c r="G23">
        <f t="shared" si="0"/>
        <v>30</v>
      </c>
      <c r="H23">
        <f t="shared" ca="1" si="1"/>
        <v>0</v>
      </c>
      <c r="I2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4" spans="1:9" x14ac:dyDescent="0.35">
      <c r="A24" t="s">
        <v>30</v>
      </c>
      <c r="B24" t="s">
        <v>7</v>
      </c>
      <c r="C24" s="4">
        <v>45424</v>
      </c>
      <c r="D24" s="4">
        <v>45454</v>
      </c>
      <c r="E24" s="1">
        <v>14944.65</v>
      </c>
      <c r="F24" t="s">
        <v>3</v>
      </c>
      <c r="G24">
        <f t="shared" si="0"/>
        <v>30</v>
      </c>
      <c r="H24">
        <f t="shared" ca="1" si="1"/>
        <v>0</v>
      </c>
      <c r="I2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5" spans="1:9" x14ac:dyDescent="0.35">
      <c r="A25" t="s">
        <v>31</v>
      </c>
      <c r="B25" t="s">
        <v>11</v>
      </c>
      <c r="C25" s="4">
        <v>46163</v>
      </c>
      <c r="D25" s="4">
        <v>46193</v>
      </c>
      <c r="E25" s="1">
        <v>33778.47</v>
      </c>
      <c r="F25" t="s">
        <v>3</v>
      </c>
      <c r="G25">
        <f t="shared" si="0"/>
        <v>30</v>
      </c>
      <c r="H25">
        <f t="shared" ca="1" si="1"/>
        <v>0</v>
      </c>
      <c r="I2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6" spans="1:9" x14ac:dyDescent="0.35">
      <c r="A26" t="s">
        <v>32</v>
      </c>
      <c r="B26" t="s">
        <v>5</v>
      </c>
      <c r="C26" s="4">
        <v>45434</v>
      </c>
      <c r="D26" s="4">
        <v>45464</v>
      </c>
      <c r="E26" s="1">
        <v>25788.71</v>
      </c>
      <c r="F26" t="s">
        <v>3</v>
      </c>
      <c r="G26">
        <f t="shared" si="0"/>
        <v>30</v>
      </c>
      <c r="H26">
        <f t="shared" ca="1" si="1"/>
        <v>0</v>
      </c>
      <c r="I2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7" spans="1:9" x14ac:dyDescent="0.35">
      <c r="A27" t="s">
        <v>33</v>
      </c>
      <c r="B27" t="s">
        <v>11</v>
      </c>
      <c r="C27" s="4">
        <v>44965</v>
      </c>
      <c r="D27" s="4">
        <v>44995</v>
      </c>
      <c r="E27" s="1">
        <v>5877.35</v>
      </c>
      <c r="F27" t="s">
        <v>3</v>
      </c>
      <c r="G27">
        <f t="shared" si="0"/>
        <v>30</v>
      </c>
      <c r="H27">
        <f t="shared" ca="1" si="1"/>
        <v>0</v>
      </c>
      <c r="I2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8" spans="1:9" x14ac:dyDescent="0.35">
      <c r="A28" t="s">
        <v>34</v>
      </c>
      <c r="B28" t="s">
        <v>9</v>
      </c>
      <c r="C28" s="4">
        <v>46091</v>
      </c>
      <c r="D28" s="4">
        <v>46121</v>
      </c>
      <c r="E28" s="1">
        <v>49922.91</v>
      </c>
      <c r="F28" t="s">
        <v>3</v>
      </c>
      <c r="G28">
        <f t="shared" si="0"/>
        <v>30</v>
      </c>
      <c r="H28">
        <f t="shared" ca="1" si="1"/>
        <v>0</v>
      </c>
      <c r="I2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9" spans="1:9" x14ac:dyDescent="0.35">
      <c r="A29" t="s">
        <v>35</v>
      </c>
      <c r="B29" t="s">
        <v>5</v>
      </c>
      <c r="C29" s="4">
        <v>46225</v>
      </c>
      <c r="D29" s="4">
        <v>46255</v>
      </c>
      <c r="E29" s="1">
        <v>32289.46</v>
      </c>
      <c r="F29" t="s">
        <v>3</v>
      </c>
      <c r="G29">
        <f t="shared" si="0"/>
        <v>30</v>
      </c>
      <c r="H29">
        <f t="shared" ca="1" si="1"/>
        <v>0</v>
      </c>
      <c r="I2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0" spans="1:9" x14ac:dyDescent="0.35">
      <c r="A30" t="s">
        <v>36</v>
      </c>
      <c r="B30" t="s">
        <v>11</v>
      </c>
      <c r="C30" s="4">
        <v>45901</v>
      </c>
      <c r="D30" s="4">
        <v>45931</v>
      </c>
      <c r="E30" s="1">
        <v>29725</v>
      </c>
      <c r="F30" t="s">
        <v>3</v>
      </c>
      <c r="G30">
        <f t="shared" si="0"/>
        <v>30</v>
      </c>
      <c r="H30">
        <f t="shared" ca="1" si="1"/>
        <v>0</v>
      </c>
      <c r="I3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1" spans="1:9" x14ac:dyDescent="0.35">
      <c r="A31" t="s">
        <v>37</v>
      </c>
      <c r="B31" t="s">
        <v>7</v>
      </c>
      <c r="C31" s="4">
        <v>46244</v>
      </c>
      <c r="D31" s="4">
        <v>46274</v>
      </c>
      <c r="E31" s="1">
        <v>41974.94</v>
      </c>
      <c r="F31" t="s">
        <v>18</v>
      </c>
      <c r="G31">
        <f t="shared" si="0"/>
        <v>30</v>
      </c>
      <c r="H31">
        <f t="shared" ca="1" si="1"/>
        <v>14</v>
      </c>
      <c r="I31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1-30 days</v>
      </c>
    </row>
    <row r="32" spans="1:9" x14ac:dyDescent="0.35">
      <c r="A32" t="s">
        <v>38</v>
      </c>
      <c r="B32" t="s">
        <v>5</v>
      </c>
      <c r="C32" s="4">
        <v>45989</v>
      </c>
      <c r="D32" s="4">
        <v>46019</v>
      </c>
      <c r="E32" s="1">
        <v>17813.939999999999</v>
      </c>
      <c r="F32" t="s">
        <v>18</v>
      </c>
      <c r="G32">
        <f t="shared" si="0"/>
        <v>30</v>
      </c>
      <c r="H32">
        <f t="shared" ca="1" si="1"/>
        <v>269</v>
      </c>
      <c r="I32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33" spans="1:9" x14ac:dyDescent="0.35">
      <c r="A33" t="s">
        <v>39</v>
      </c>
      <c r="B33" t="s">
        <v>2</v>
      </c>
      <c r="C33" s="4">
        <v>44969</v>
      </c>
      <c r="D33" s="4">
        <v>44999</v>
      </c>
      <c r="E33" s="1">
        <v>6812.06</v>
      </c>
      <c r="F33" t="s">
        <v>3</v>
      </c>
      <c r="G33">
        <f t="shared" si="0"/>
        <v>30</v>
      </c>
      <c r="H33">
        <f t="shared" ca="1" si="1"/>
        <v>0</v>
      </c>
      <c r="I3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4" spans="1:9" x14ac:dyDescent="0.35">
      <c r="A34" t="s">
        <v>40</v>
      </c>
      <c r="B34" t="s">
        <v>7</v>
      </c>
      <c r="C34" s="4">
        <v>46009</v>
      </c>
      <c r="D34" s="4">
        <v>46039</v>
      </c>
      <c r="E34" s="1">
        <v>37878.339999999997</v>
      </c>
      <c r="F34" t="s">
        <v>3</v>
      </c>
      <c r="G34">
        <f t="shared" si="0"/>
        <v>30</v>
      </c>
      <c r="H34">
        <f t="shared" ca="1" si="1"/>
        <v>0</v>
      </c>
      <c r="I3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5" spans="1:9" x14ac:dyDescent="0.35">
      <c r="A35" t="s">
        <v>41</v>
      </c>
      <c r="B35" t="s">
        <v>2</v>
      </c>
      <c r="C35" s="4">
        <v>46021</v>
      </c>
      <c r="D35" s="4">
        <v>46051</v>
      </c>
      <c r="E35" s="1">
        <v>45970.18</v>
      </c>
      <c r="F35" t="s">
        <v>3</v>
      </c>
      <c r="G35">
        <f t="shared" si="0"/>
        <v>30</v>
      </c>
      <c r="H35">
        <f t="shared" ca="1" si="1"/>
        <v>0</v>
      </c>
      <c r="I3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6" spans="1:9" x14ac:dyDescent="0.35">
      <c r="A36" t="s">
        <v>42</v>
      </c>
      <c r="B36" t="s">
        <v>2</v>
      </c>
      <c r="C36" s="4">
        <v>45537</v>
      </c>
      <c r="D36" s="4">
        <v>45567</v>
      </c>
      <c r="E36" s="1">
        <v>11999.71</v>
      </c>
      <c r="F36" t="s">
        <v>3</v>
      </c>
      <c r="G36">
        <f t="shared" si="0"/>
        <v>30</v>
      </c>
      <c r="H36">
        <f t="shared" ca="1" si="1"/>
        <v>0</v>
      </c>
      <c r="I3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7" spans="1:9" x14ac:dyDescent="0.35">
      <c r="A37" t="s">
        <v>43</v>
      </c>
      <c r="B37" t="s">
        <v>2</v>
      </c>
      <c r="C37" s="4">
        <v>45201</v>
      </c>
      <c r="D37" s="4">
        <v>45231</v>
      </c>
      <c r="E37" s="1">
        <v>34359.019999999997</v>
      </c>
      <c r="F37" t="s">
        <v>3</v>
      </c>
      <c r="G37">
        <f t="shared" si="0"/>
        <v>30</v>
      </c>
      <c r="H37">
        <f t="shared" ca="1" si="1"/>
        <v>0</v>
      </c>
      <c r="I3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8" spans="1:9" x14ac:dyDescent="0.35">
      <c r="A38" t="s">
        <v>44</v>
      </c>
      <c r="B38" t="s">
        <v>2</v>
      </c>
      <c r="C38" s="4">
        <v>45695</v>
      </c>
      <c r="D38" s="4">
        <v>45725</v>
      </c>
      <c r="E38" s="1">
        <v>41960.95</v>
      </c>
      <c r="F38" t="s">
        <v>3</v>
      </c>
      <c r="G38">
        <f t="shared" si="0"/>
        <v>30</v>
      </c>
      <c r="H38">
        <f t="shared" ca="1" si="1"/>
        <v>0</v>
      </c>
      <c r="I3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9" spans="1:9" x14ac:dyDescent="0.35">
      <c r="A39" t="s">
        <v>45</v>
      </c>
      <c r="B39" t="s">
        <v>2</v>
      </c>
      <c r="C39" s="4">
        <v>45145</v>
      </c>
      <c r="D39" s="4">
        <v>45175</v>
      </c>
      <c r="E39" s="1">
        <v>4124.3900000000003</v>
      </c>
      <c r="F39" t="s">
        <v>3</v>
      </c>
      <c r="G39">
        <f t="shared" si="0"/>
        <v>30</v>
      </c>
      <c r="H39">
        <f t="shared" ca="1" si="1"/>
        <v>0</v>
      </c>
      <c r="I3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0" spans="1:9" x14ac:dyDescent="0.35">
      <c r="A40" t="s">
        <v>46</v>
      </c>
      <c r="B40" t="s">
        <v>2</v>
      </c>
      <c r="C40" s="4">
        <v>46245</v>
      </c>
      <c r="D40" s="4">
        <v>46275</v>
      </c>
      <c r="E40" s="1">
        <v>6119.13</v>
      </c>
      <c r="F40" t="s">
        <v>3</v>
      </c>
      <c r="G40">
        <f t="shared" si="0"/>
        <v>30</v>
      </c>
      <c r="H40">
        <f t="shared" ca="1" si="1"/>
        <v>0</v>
      </c>
      <c r="I4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1" spans="1:9" x14ac:dyDescent="0.35">
      <c r="A41" t="s">
        <v>47</v>
      </c>
      <c r="B41" t="s">
        <v>2</v>
      </c>
      <c r="C41" s="4">
        <v>45802</v>
      </c>
      <c r="D41" s="4">
        <v>45832</v>
      </c>
      <c r="E41" s="1">
        <v>28415.47</v>
      </c>
      <c r="F41" t="s">
        <v>3</v>
      </c>
      <c r="G41">
        <f t="shared" si="0"/>
        <v>30</v>
      </c>
      <c r="H41">
        <f t="shared" ca="1" si="1"/>
        <v>0</v>
      </c>
      <c r="I4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2" spans="1:9" x14ac:dyDescent="0.35">
      <c r="A42" t="s">
        <v>48</v>
      </c>
      <c r="B42" t="s">
        <v>5</v>
      </c>
      <c r="C42" s="4">
        <v>45133</v>
      </c>
      <c r="D42" s="4">
        <v>45163</v>
      </c>
      <c r="E42" s="1">
        <v>25914.52</v>
      </c>
      <c r="F42" t="s">
        <v>18</v>
      </c>
      <c r="G42">
        <f t="shared" si="0"/>
        <v>30</v>
      </c>
      <c r="H42">
        <f t="shared" ca="1" si="1"/>
        <v>1125</v>
      </c>
      <c r="I42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43" spans="1:9" x14ac:dyDescent="0.35">
      <c r="A43" t="s">
        <v>49</v>
      </c>
      <c r="B43" t="s">
        <v>5</v>
      </c>
      <c r="C43" s="4">
        <v>45625</v>
      </c>
      <c r="D43" s="4">
        <v>45655</v>
      </c>
      <c r="E43" s="1">
        <v>16486.060000000001</v>
      </c>
      <c r="F43" t="s">
        <v>3</v>
      </c>
      <c r="G43">
        <f t="shared" si="0"/>
        <v>30</v>
      </c>
      <c r="H43">
        <f t="shared" ca="1" si="1"/>
        <v>0</v>
      </c>
      <c r="I4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4" spans="1:9" x14ac:dyDescent="0.35">
      <c r="A44" t="s">
        <v>50</v>
      </c>
      <c r="B44" t="s">
        <v>11</v>
      </c>
      <c r="C44" s="4">
        <v>45738</v>
      </c>
      <c r="D44" s="4">
        <v>45768</v>
      </c>
      <c r="E44" s="1">
        <v>2453.1</v>
      </c>
      <c r="F44" t="s">
        <v>3</v>
      </c>
      <c r="G44">
        <f t="shared" si="0"/>
        <v>30</v>
      </c>
      <c r="H44">
        <f t="shared" ca="1" si="1"/>
        <v>0</v>
      </c>
      <c r="I4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5" spans="1:9" x14ac:dyDescent="0.35">
      <c r="A45" t="s">
        <v>51</v>
      </c>
      <c r="B45" t="s">
        <v>5</v>
      </c>
      <c r="C45" s="4">
        <v>46231</v>
      </c>
      <c r="D45" s="4">
        <v>46261</v>
      </c>
      <c r="E45" s="1">
        <v>49537.33</v>
      </c>
      <c r="F45" t="s">
        <v>3</v>
      </c>
      <c r="G45">
        <f t="shared" si="0"/>
        <v>30</v>
      </c>
      <c r="H45">
        <f t="shared" ca="1" si="1"/>
        <v>0</v>
      </c>
      <c r="I4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6" spans="1:9" x14ac:dyDescent="0.35">
      <c r="A46" t="s">
        <v>52</v>
      </c>
      <c r="B46" t="s">
        <v>7</v>
      </c>
      <c r="C46" s="4">
        <v>45318</v>
      </c>
      <c r="D46" s="4">
        <v>45348</v>
      </c>
      <c r="E46" s="1">
        <v>46366.51</v>
      </c>
      <c r="F46" t="s">
        <v>3</v>
      </c>
      <c r="G46">
        <f t="shared" si="0"/>
        <v>30</v>
      </c>
      <c r="H46">
        <f t="shared" ca="1" si="1"/>
        <v>0</v>
      </c>
      <c r="I4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7" spans="1:9" x14ac:dyDescent="0.35">
      <c r="A47" t="s">
        <v>53</v>
      </c>
      <c r="B47" t="s">
        <v>7</v>
      </c>
      <c r="C47" s="4">
        <v>44982</v>
      </c>
      <c r="D47" s="4">
        <v>45012</v>
      </c>
      <c r="E47" s="1">
        <v>5460.51</v>
      </c>
      <c r="F47" t="s">
        <v>3</v>
      </c>
      <c r="G47">
        <f t="shared" si="0"/>
        <v>30</v>
      </c>
      <c r="H47">
        <f t="shared" ca="1" si="1"/>
        <v>0</v>
      </c>
      <c r="I4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8" spans="1:9" x14ac:dyDescent="0.35">
      <c r="A48" t="s">
        <v>54</v>
      </c>
      <c r="B48" t="s">
        <v>5</v>
      </c>
      <c r="C48" s="4">
        <v>45783</v>
      </c>
      <c r="D48" s="4">
        <v>45813</v>
      </c>
      <c r="E48" s="1">
        <v>21966.3</v>
      </c>
      <c r="F48" t="s">
        <v>3</v>
      </c>
      <c r="G48">
        <f t="shared" si="0"/>
        <v>30</v>
      </c>
      <c r="H48">
        <f t="shared" ca="1" si="1"/>
        <v>0</v>
      </c>
      <c r="I4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9" spans="1:9" x14ac:dyDescent="0.35">
      <c r="A49" t="s">
        <v>55</v>
      </c>
      <c r="B49" t="s">
        <v>11</v>
      </c>
      <c r="C49" s="4">
        <v>44937</v>
      </c>
      <c r="D49" s="4">
        <v>44967</v>
      </c>
      <c r="E49" s="1">
        <v>32211.68</v>
      </c>
      <c r="F49" t="s">
        <v>3</v>
      </c>
      <c r="G49">
        <f t="shared" si="0"/>
        <v>30</v>
      </c>
      <c r="H49">
        <f t="shared" ca="1" si="1"/>
        <v>0</v>
      </c>
      <c r="I4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50" spans="1:9" x14ac:dyDescent="0.35">
      <c r="A50" t="s">
        <v>56</v>
      </c>
      <c r="B50" t="s">
        <v>5</v>
      </c>
      <c r="C50" s="4">
        <v>45441</v>
      </c>
      <c r="D50" s="4">
        <v>45471</v>
      </c>
      <c r="E50" s="1">
        <v>14997.12</v>
      </c>
      <c r="F50" t="s">
        <v>3</v>
      </c>
      <c r="G50">
        <f t="shared" si="0"/>
        <v>30</v>
      </c>
      <c r="H50">
        <f t="shared" ca="1" si="1"/>
        <v>0</v>
      </c>
      <c r="I5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51" spans="1:9" x14ac:dyDescent="0.35">
      <c r="A51" t="s">
        <v>57</v>
      </c>
      <c r="B51" t="s">
        <v>2</v>
      </c>
      <c r="C51" s="4">
        <v>45061</v>
      </c>
      <c r="D51" s="4">
        <v>45091</v>
      </c>
      <c r="E51" s="1">
        <v>41874.639999999999</v>
      </c>
      <c r="F51" t="s">
        <v>3</v>
      </c>
      <c r="G51">
        <f t="shared" si="0"/>
        <v>30</v>
      </c>
      <c r="H51">
        <f t="shared" ca="1" si="1"/>
        <v>0</v>
      </c>
      <c r="I5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52" spans="1:9" x14ac:dyDescent="0.35">
      <c r="A52" t="s">
        <v>58</v>
      </c>
      <c r="B52" t="s">
        <v>2</v>
      </c>
      <c r="C52" s="4">
        <v>45746</v>
      </c>
      <c r="D52" s="4">
        <v>45776</v>
      </c>
      <c r="E52" s="1">
        <v>44805.65</v>
      </c>
      <c r="F52" t="s">
        <v>3</v>
      </c>
      <c r="G52">
        <f t="shared" si="0"/>
        <v>30</v>
      </c>
      <c r="H52">
        <f t="shared" ca="1" si="1"/>
        <v>0</v>
      </c>
      <c r="I5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53" spans="1:9" x14ac:dyDescent="0.35">
      <c r="A53" t="s">
        <v>59</v>
      </c>
      <c r="B53" t="s">
        <v>5</v>
      </c>
      <c r="C53" s="4">
        <v>45940</v>
      </c>
      <c r="D53" s="4">
        <v>45970</v>
      </c>
      <c r="E53" s="1">
        <v>16725.88</v>
      </c>
      <c r="F53" t="s">
        <v>3</v>
      </c>
      <c r="G53">
        <f t="shared" si="0"/>
        <v>30</v>
      </c>
      <c r="H53">
        <f t="shared" ca="1" si="1"/>
        <v>0</v>
      </c>
      <c r="I5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54" spans="1:9" x14ac:dyDescent="0.35">
      <c r="A54" t="s">
        <v>60</v>
      </c>
      <c r="B54" t="s">
        <v>7</v>
      </c>
      <c r="C54" s="4">
        <v>45233</v>
      </c>
      <c r="D54" s="4">
        <v>45263</v>
      </c>
      <c r="E54" s="1">
        <v>20922.86</v>
      </c>
      <c r="F54" t="s">
        <v>3</v>
      </c>
      <c r="G54">
        <f t="shared" si="0"/>
        <v>30</v>
      </c>
      <c r="H54">
        <f t="shared" ca="1" si="1"/>
        <v>0</v>
      </c>
      <c r="I5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55" spans="1:9" x14ac:dyDescent="0.35">
      <c r="A55" t="s">
        <v>61</v>
      </c>
      <c r="B55" t="s">
        <v>7</v>
      </c>
      <c r="C55" s="4">
        <v>45341</v>
      </c>
      <c r="D55" s="4">
        <v>45371</v>
      </c>
      <c r="E55" s="1">
        <v>34791.730000000003</v>
      </c>
      <c r="F55" t="s">
        <v>3</v>
      </c>
      <c r="G55">
        <f t="shared" si="0"/>
        <v>30</v>
      </c>
      <c r="H55">
        <f t="shared" ca="1" si="1"/>
        <v>0</v>
      </c>
      <c r="I5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56" spans="1:9" x14ac:dyDescent="0.35">
      <c r="A56" t="s">
        <v>62</v>
      </c>
      <c r="B56" t="s">
        <v>11</v>
      </c>
      <c r="C56" s="4">
        <v>45196</v>
      </c>
      <c r="D56" s="4">
        <v>45226</v>
      </c>
      <c r="E56" s="1">
        <v>16963.650000000001</v>
      </c>
      <c r="F56" t="s">
        <v>18</v>
      </c>
      <c r="G56">
        <f t="shared" si="0"/>
        <v>30</v>
      </c>
      <c r="H56">
        <f t="shared" ca="1" si="1"/>
        <v>1062</v>
      </c>
      <c r="I56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57" spans="1:9" x14ac:dyDescent="0.35">
      <c r="A57" t="s">
        <v>63</v>
      </c>
      <c r="B57" t="s">
        <v>11</v>
      </c>
      <c r="C57" s="4">
        <v>45728</v>
      </c>
      <c r="D57" s="4">
        <v>45758</v>
      </c>
      <c r="E57" s="1">
        <v>18326.060000000001</v>
      </c>
      <c r="F57" t="s">
        <v>3</v>
      </c>
      <c r="G57">
        <f t="shared" si="0"/>
        <v>30</v>
      </c>
      <c r="H57">
        <f t="shared" ca="1" si="1"/>
        <v>0</v>
      </c>
      <c r="I5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58" spans="1:9" x14ac:dyDescent="0.35">
      <c r="A58" t="s">
        <v>64</v>
      </c>
      <c r="B58" t="s">
        <v>9</v>
      </c>
      <c r="C58" s="4">
        <v>45549</v>
      </c>
      <c r="D58" s="4">
        <v>45579</v>
      </c>
      <c r="E58" s="1">
        <v>36132.42</v>
      </c>
      <c r="F58" t="s">
        <v>3</v>
      </c>
      <c r="G58">
        <f t="shared" si="0"/>
        <v>30</v>
      </c>
      <c r="H58">
        <f t="shared" ca="1" si="1"/>
        <v>0</v>
      </c>
      <c r="I5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59" spans="1:9" x14ac:dyDescent="0.35">
      <c r="A59" t="s">
        <v>65</v>
      </c>
      <c r="B59" t="s">
        <v>7</v>
      </c>
      <c r="C59" s="4">
        <v>45473</v>
      </c>
      <c r="D59" s="4">
        <v>45503</v>
      </c>
      <c r="E59" s="1">
        <v>22439.35</v>
      </c>
      <c r="F59" t="s">
        <v>3</v>
      </c>
      <c r="G59">
        <f t="shared" si="0"/>
        <v>30</v>
      </c>
      <c r="H59">
        <f t="shared" ca="1" si="1"/>
        <v>0</v>
      </c>
      <c r="I5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60" spans="1:9" x14ac:dyDescent="0.35">
      <c r="A60" t="s">
        <v>66</v>
      </c>
      <c r="B60" t="s">
        <v>7</v>
      </c>
      <c r="C60" s="4">
        <v>45994</v>
      </c>
      <c r="D60" s="4">
        <v>46024</v>
      </c>
      <c r="E60" s="1">
        <v>34548.39</v>
      </c>
      <c r="F60" t="s">
        <v>3</v>
      </c>
      <c r="G60">
        <f t="shared" si="0"/>
        <v>30</v>
      </c>
      <c r="H60">
        <f t="shared" ca="1" si="1"/>
        <v>0</v>
      </c>
      <c r="I6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61" spans="1:9" x14ac:dyDescent="0.35">
      <c r="A61" t="s">
        <v>67</v>
      </c>
      <c r="B61" t="s">
        <v>11</v>
      </c>
      <c r="C61" s="4">
        <v>45936</v>
      </c>
      <c r="D61" s="4">
        <v>45966</v>
      </c>
      <c r="E61" s="1">
        <v>29837.72</v>
      </c>
      <c r="F61" t="s">
        <v>3</v>
      </c>
      <c r="G61">
        <f t="shared" si="0"/>
        <v>30</v>
      </c>
      <c r="H61">
        <f t="shared" ca="1" si="1"/>
        <v>0</v>
      </c>
      <c r="I6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62" spans="1:9" x14ac:dyDescent="0.35">
      <c r="A62" t="s">
        <v>68</v>
      </c>
      <c r="B62" t="s">
        <v>11</v>
      </c>
      <c r="C62" s="4">
        <v>45122</v>
      </c>
      <c r="D62" s="4">
        <v>45152</v>
      </c>
      <c r="E62" s="1">
        <v>46880.5</v>
      </c>
      <c r="F62" t="s">
        <v>3</v>
      </c>
      <c r="G62">
        <f t="shared" si="0"/>
        <v>30</v>
      </c>
      <c r="H62">
        <f t="shared" ca="1" si="1"/>
        <v>0</v>
      </c>
      <c r="I6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63" spans="1:9" x14ac:dyDescent="0.35">
      <c r="A63" t="s">
        <v>69</v>
      </c>
      <c r="B63" t="s">
        <v>2</v>
      </c>
      <c r="C63" s="4">
        <v>45671</v>
      </c>
      <c r="D63" s="4">
        <v>45701</v>
      </c>
      <c r="E63" s="1">
        <v>33208.99</v>
      </c>
      <c r="F63" t="s">
        <v>18</v>
      </c>
      <c r="G63">
        <f t="shared" si="0"/>
        <v>30</v>
      </c>
      <c r="H63">
        <f t="shared" ca="1" si="1"/>
        <v>587</v>
      </c>
      <c r="I63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64" spans="1:9" x14ac:dyDescent="0.35">
      <c r="A64" t="s">
        <v>70</v>
      </c>
      <c r="B64" t="s">
        <v>5</v>
      </c>
      <c r="C64" s="4">
        <v>45782</v>
      </c>
      <c r="D64" s="4">
        <v>45812</v>
      </c>
      <c r="E64" s="1">
        <v>28615.94</v>
      </c>
      <c r="F64" t="s">
        <v>18</v>
      </c>
      <c r="G64">
        <f t="shared" si="0"/>
        <v>30</v>
      </c>
      <c r="H64">
        <f t="shared" ca="1" si="1"/>
        <v>476</v>
      </c>
      <c r="I64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65" spans="1:9" x14ac:dyDescent="0.35">
      <c r="A65" t="s">
        <v>71</v>
      </c>
      <c r="B65" t="s">
        <v>9</v>
      </c>
      <c r="C65" s="4">
        <v>44959</v>
      </c>
      <c r="D65" s="4">
        <v>44989</v>
      </c>
      <c r="E65" s="1">
        <v>40818.629999999997</v>
      </c>
      <c r="F65" t="s">
        <v>3</v>
      </c>
      <c r="G65">
        <f t="shared" si="0"/>
        <v>30</v>
      </c>
      <c r="H65">
        <f t="shared" ca="1" si="1"/>
        <v>0</v>
      </c>
      <c r="I6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66" spans="1:9" x14ac:dyDescent="0.35">
      <c r="A66" t="s">
        <v>72</v>
      </c>
      <c r="B66" t="s">
        <v>11</v>
      </c>
      <c r="C66" s="4">
        <v>45594</v>
      </c>
      <c r="D66" s="4">
        <v>45624</v>
      </c>
      <c r="E66" s="1">
        <v>17119.55</v>
      </c>
      <c r="F66" t="s">
        <v>18</v>
      </c>
      <c r="G66">
        <f t="shared" ref="G66:G129" si="2">D66-C66</f>
        <v>30</v>
      </c>
      <c r="H66">
        <f t="shared" ref="H66:H129" ca="1" si="3">IF(F66="Unpaid", TODAY() - D66, 0)</f>
        <v>664</v>
      </c>
      <c r="I66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67" spans="1:9" x14ac:dyDescent="0.35">
      <c r="A67" t="s">
        <v>73</v>
      </c>
      <c r="B67" t="s">
        <v>11</v>
      </c>
      <c r="C67" s="4">
        <v>45781</v>
      </c>
      <c r="D67" s="4">
        <v>45811</v>
      </c>
      <c r="E67" s="1">
        <v>38865.42</v>
      </c>
      <c r="F67" t="s">
        <v>3</v>
      </c>
      <c r="G67">
        <f t="shared" si="2"/>
        <v>30</v>
      </c>
      <c r="H67">
        <f t="shared" ca="1" si="3"/>
        <v>0</v>
      </c>
      <c r="I6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68" spans="1:9" x14ac:dyDescent="0.35">
      <c r="A68" t="s">
        <v>74</v>
      </c>
      <c r="B68" t="s">
        <v>2</v>
      </c>
      <c r="C68" s="4">
        <v>45208</v>
      </c>
      <c r="D68" s="4">
        <v>45238</v>
      </c>
      <c r="E68" s="1">
        <v>26069.65</v>
      </c>
      <c r="F68" t="s">
        <v>18</v>
      </c>
      <c r="G68">
        <f t="shared" si="2"/>
        <v>30</v>
      </c>
      <c r="H68">
        <f t="shared" ca="1" si="3"/>
        <v>1050</v>
      </c>
      <c r="I68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69" spans="1:9" x14ac:dyDescent="0.35">
      <c r="A69" t="s">
        <v>75</v>
      </c>
      <c r="B69" t="s">
        <v>7</v>
      </c>
      <c r="C69" s="4">
        <v>45851</v>
      </c>
      <c r="D69" s="4">
        <v>45881</v>
      </c>
      <c r="E69" s="1">
        <v>4582.6099999999997</v>
      </c>
      <c r="F69" t="s">
        <v>3</v>
      </c>
      <c r="G69">
        <f t="shared" si="2"/>
        <v>30</v>
      </c>
      <c r="H69">
        <f t="shared" ca="1" si="3"/>
        <v>0</v>
      </c>
      <c r="I6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70" spans="1:9" x14ac:dyDescent="0.35">
      <c r="A70" t="s">
        <v>76</v>
      </c>
      <c r="B70" t="s">
        <v>7</v>
      </c>
      <c r="C70" s="4">
        <v>45642</v>
      </c>
      <c r="D70" s="4">
        <v>45672</v>
      </c>
      <c r="E70" s="1">
        <v>40171.47</v>
      </c>
      <c r="F70" t="s">
        <v>3</v>
      </c>
      <c r="G70">
        <f t="shared" si="2"/>
        <v>30</v>
      </c>
      <c r="H70">
        <f t="shared" ca="1" si="3"/>
        <v>0</v>
      </c>
      <c r="I7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71" spans="1:9" x14ac:dyDescent="0.35">
      <c r="A71" t="s">
        <v>77</v>
      </c>
      <c r="B71" t="s">
        <v>2</v>
      </c>
      <c r="C71" s="4">
        <v>45380</v>
      </c>
      <c r="D71" s="4">
        <v>45410</v>
      </c>
      <c r="E71" s="1">
        <v>42951.17</v>
      </c>
      <c r="F71" t="s">
        <v>3</v>
      </c>
      <c r="G71">
        <f t="shared" si="2"/>
        <v>30</v>
      </c>
      <c r="H71">
        <f t="shared" ca="1" si="3"/>
        <v>0</v>
      </c>
      <c r="I7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72" spans="1:9" x14ac:dyDescent="0.35">
      <c r="A72" t="s">
        <v>78</v>
      </c>
      <c r="B72" t="s">
        <v>5</v>
      </c>
      <c r="C72" s="4">
        <v>45131</v>
      </c>
      <c r="D72" s="4">
        <v>45161</v>
      </c>
      <c r="E72" s="1">
        <v>32777.29</v>
      </c>
      <c r="F72" t="s">
        <v>3</v>
      </c>
      <c r="G72">
        <f t="shared" si="2"/>
        <v>30</v>
      </c>
      <c r="H72">
        <f t="shared" ca="1" si="3"/>
        <v>0</v>
      </c>
      <c r="I7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73" spans="1:9" x14ac:dyDescent="0.35">
      <c r="A73" t="s">
        <v>79</v>
      </c>
      <c r="B73" t="s">
        <v>9</v>
      </c>
      <c r="C73" s="4">
        <v>44999</v>
      </c>
      <c r="D73" s="4">
        <v>45029</v>
      </c>
      <c r="E73" s="1">
        <v>2135.6999999999998</v>
      </c>
      <c r="F73" t="s">
        <v>3</v>
      </c>
      <c r="G73">
        <f t="shared" si="2"/>
        <v>30</v>
      </c>
      <c r="H73">
        <f t="shared" ca="1" si="3"/>
        <v>0</v>
      </c>
      <c r="I7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74" spans="1:9" x14ac:dyDescent="0.35">
      <c r="A74" t="s">
        <v>80</v>
      </c>
      <c r="B74" t="s">
        <v>7</v>
      </c>
      <c r="C74" s="4">
        <v>45391</v>
      </c>
      <c r="D74" s="4">
        <v>45421</v>
      </c>
      <c r="E74" s="1">
        <v>4423.12</v>
      </c>
      <c r="F74" t="s">
        <v>3</v>
      </c>
      <c r="G74">
        <f t="shared" si="2"/>
        <v>30</v>
      </c>
      <c r="H74">
        <f t="shared" ca="1" si="3"/>
        <v>0</v>
      </c>
      <c r="I7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75" spans="1:9" x14ac:dyDescent="0.35">
      <c r="A75" t="s">
        <v>81</v>
      </c>
      <c r="B75" t="s">
        <v>11</v>
      </c>
      <c r="C75" s="4">
        <v>45698</v>
      </c>
      <c r="D75" s="4">
        <v>45728</v>
      </c>
      <c r="E75" s="1">
        <v>30249.41</v>
      </c>
      <c r="F75" t="s">
        <v>3</v>
      </c>
      <c r="G75">
        <f t="shared" si="2"/>
        <v>30</v>
      </c>
      <c r="H75">
        <f t="shared" ca="1" si="3"/>
        <v>0</v>
      </c>
      <c r="I7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76" spans="1:9" x14ac:dyDescent="0.35">
      <c r="A76" t="s">
        <v>82</v>
      </c>
      <c r="B76" t="s">
        <v>7</v>
      </c>
      <c r="C76" s="4">
        <v>44940</v>
      </c>
      <c r="D76" s="4">
        <v>44970</v>
      </c>
      <c r="E76" s="1">
        <v>39644.43</v>
      </c>
      <c r="F76" t="s">
        <v>18</v>
      </c>
      <c r="G76">
        <f t="shared" si="2"/>
        <v>30</v>
      </c>
      <c r="H76">
        <f t="shared" ca="1" si="3"/>
        <v>1318</v>
      </c>
      <c r="I76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77" spans="1:9" x14ac:dyDescent="0.35">
      <c r="A77" t="s">
        <v>83</v>
      </c>
      <c r="B77" t="s">
        <v>2</v>
      </c>
      <c r="C77" s="4">
        <v>46023</v>
      </c>
      <c r="D77" s="4">
        <v>46053</v>
      </c>
      <c r="E77" s="1">
        <v>24592.86</v>
      </c>
      <c r="F77" t="s">
        <v>3</v>
      </c>
      <c r="G77">
        <f t="shared" si="2"/>
        <v>30</v>
      </c>
      <c r="H77">
        <f t="shared" ca="1" si="3"/>
        <v>0</v>
      </c>
      <c r="I7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78" spans="1:9" x14ac:dyDescent="0.35">
      <c r="A78" t="s">
        <v>84</v>
      </c>
      <c r="B78" t="s">
        <v>5</v>
      </c>
      <c r="C78" s="4">
        <v>46201</v>
      </c>
      <c r="D78" s="4">
        <v>46231</v>
      </c>
      <c r="E78" s="1">
        <v>30813.83</v>
      </c>
      <c r="F78" t="s">
        <v>3</v>
      </c>
      <c r="G78">
        <f t="shared" si="2"/>
        <v>30</v>
      </c>
      <c r="H78">
        <f t="shared" ca="1" si="3"/>
        <v>0</v>
      </c>
      <c r="I7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79" spans="1:9" x14ac:dyDescent="0.35">
      <c r="A79" t="s">
        <v>85</v>
      </c>
      <c r="B79" t="s">
        <v>7</v>
      </c>
      <c r="C79" s="4">
        <v>44946</v>
      </c>
      <c r="D79" s="4">
        <v>44976</v>
      </c>
      <c r="E79" s="1">
        <v>33016.089999999997</v>
      </c>
      <c r="F79" t="s">
        <v>3</v>
      </c>
      <c r="G79">
        <f t="shared" si="2"/>
        <v>30</v>
      </c>
      <c r="H79">
        <f t="shared" ca="1" si="3"/>
        <v>0</v>
      </c>
      <c r="I7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80" spans="1:9" x14ac:dyDescent="0.35">
      <c r="A80" t="s">
        <v>86</v>
      </c>
      <c r="B80" t="s">
        <v>9</v>
      </c>
      <c r="C80" s="4">
        <v>45294</v>
      </c>
      <c r="D80" s="4">
        <v>45324</v>
      </c>
      <c r="E80" s="1">
        <v>47702.47</v>
      </c>
      <c r="F80" t="s">
        <v>3</v>
      </c>
      <c r="G80">
        <f t="shared" si="2"/>
        <v>30</v>
      </c>
      <c r="H80">
        <f t="shared" ca="1" si="3"/>
        <v>0</v>
      </c>
      <c r="I8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81" spans="1:9" x14ac:dyDescent="0.35">
      <c r="A81" t="s">
        <v>87</v>
      </c>
      <c r="B81" t="s">
        <v>2</v>
      </c>
      <c r="C81" s="4">
        <v>45101</v>
      </c>
      <c r="D81" s="4">
        <v>45131</v>
      </c>
      <c r="E81" s="1">
        <v>36031.46</v>
      </c>
      <c r="F81" t="s">
        <v>3</v>
      </c>
      <c r="G81">
        <f t="shared" si="2"/>
        <v>30</v>
      </c>
      <c r="H81">
        <f t="shared" ca="1" si="3"/>
        <v>0</v>
      </c>
      <c r="I8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82" spans="1:9" x14ac:dyDescent="0.35">
      <c r="A82" t="s">
        <v>88</v>
      </c>
      <c r="B82" t="s">
        <v>9</v>
      </c>
      <c r="C82" s="4">
        <v>45412</v>
      </c>
      <c r="D82" s="4">
        <v>45442</v>
      </c>
      <c r="E82" s="1">
        <v>12853.33</v>
      </c>
      <c r="F82" t="s">
        <v>18</v>
      </c>
      <c r="G82">
        <f t="shared" si="2"/>
        <v>30</v>
      </c>
      <c r="H82">
        <f t="shared" ca="1" si="3"/>
        <v>846</v>
      </c>
      <c r="I82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83" spans="1:9" x14ac:dyDescent="0.35">
      <c r="A83" t="s">
        <v>89</v>
      </c>
      <c r="B83" t="s">
        <v>2</v>
      </c>
      <c r="C83" s="4">
        <v>46135</v>
      </c>
      <c r="D83" s="4">
        <v>46165</v>
      </c>
      <c r="E83" s="1">
        <v>11129.82</v>
      </c>
      <c r="F83" t="s">
        <v>3</v>
      </c>
      <c r="G83">
        <f t="shared" si="2"/>
        <v>30</v>
      </c>
      <c r="H83">
        <f t="shared" ca="1" si="3"/>
        <v>0</v>
      </c>
      <c r="I8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84" spans="1:9" x14ac:dyDescent="0.35">
      <c r="A84" t="s">
        <v>90</v>
      </c>
      <c r="B84" t="s">
        <v>7</v>
      </c>
      <c r="C84" s="4">
        <v>45711</v>
      </c>
      <c r="D84" s="4">
        <v>45741</v>
      </c>
      <c r="E84" s="1">
        <v>2392.31</v>
      </c>
      <c r="F84" t="s">
        <v>3</v>
      </c>
      <c r="G84">
        <f t="shared" si="2"/>
        <v>30</v>
      </c>
      <c r="H84">
        <f t="shared" ca="1" si="3"/>
        <v>0</v>
      </c>
      <c r="I8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85" spans="1:9" x14ac:dyDescent="0.35">
      <c r="A85" t="s">
        <v>91</v>
      </c>
      <c r="B85" t="s">
        <v>2</v>
      </c>
      <c r="C85" s="4">
        <v>46124</v>
      </c>
      <c r="D85" s="4">
        <v>46154</v>
      </c>
      <c r="E85" s="1">
        <v>35714.629999999997</v>
      </c>
      <c r="F85" t="s">
        <v>3</v>
      </c>
      <c r="G85">
        <f t="shared" si="2"/>
        <v>30</v>
      </c>
      <c r="H85">
        <f t="shared" ca="1" si="3"/>
        <v>0</v>
      </c>
      <c r="I8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86" spans="1:9" x14ac:dyDescent="0.35">
      <c r="A86" t="s">
        <v>92</v>
      </c>
      <c r="B86" t="s">
        <v>2</v>
      </c>
      <c r="C86" s="4">
        <v>45928</v>
      </c>
      <c r="D86" s="4">
        <v>45958</v>
      </c>
      <c r="E86" s="1">
        <v>34793.71</v>
      </c>
      <c r="F86" t="s">
        <v>3</v>
      </c>
      <c r="G86">
        <f t="shared" si="2"/>
        <v>30</v>
      </c>
      <c r="H86">
        <f t="shared" ca="1" si="3"/>
        <v>0</v>
      </c>
      <c r="I8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87" spans="1:9" x14ac:dyDescent="0.35">
      <c r="A87" t="s">
        <v>93</v>
      </c>
      <c r="B87" t="s">
        <v>7</v>
      </c>
      <c r="C87" s="4">
        <v>46196</v>
      </c>
      <c r="D87" s="4">
        <v>46226</v>
      </c>
      <c r="E87" s="1">
        <v>22293.01</v>
      </c>
      <c r="F87" t="s">
        <v>3</v>
      </c>
      <c r="G87">
        <f t="shared" si="2"/>
        <v>30</v>
      </c>
      <c r="H87">
        <f t="shared" ca="1" si="3"/>
        <v>0</v>
      </c>
      <c r="I8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88" spans="1:9" x14ac:dyDescent="0.35">
      <c r="A88" t="s">
        <v>94</v>
      </c>
      <c r="B88" t="s">
        <v>11</v>
      </c>
      <c r="C88" s="4">
        <v>46100</v>
      </c>
      <c r="D88" s="4">
        <v>46130</v>
      </c>
      <c r="E88" s="1">
        <v>27844.07</v>
      </c>
      <c r="F88" t="s">
        <v>3</v>
      </c>
      <c r="G88">
        <f t="shared" si="2"/>
        <v>30</v>
      </c>
      <c r="H88">
        <f t="shared" ca="1" si="3"/>
        <v>0</v>
      </c>
      <c r="I8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89" spans="1:9" x14ac:dyDescent="0.35">
      <c r="A89" t="s">
        <v>95</v>
      </c>
      <c r="B89" t="s">
        <v>9</v>
      </c>
      <c r="C89" s="4">
        <v>46262</v>
      </c>
      <c r="D89" s="4">
        <v>46292</v>
      </c>
      <c r="E89" s="1">
        <v>31517.360000000001</v>
      </c>
      <c r="F89" t="s">
        <v>3</v>
      </c>
      <c r="G89">
        <f t="shared" si="2"/>
        <v>30</v>
      </c>
      <c r="H89">
        <f t="shared" ca="1" si="3"/>
        <v>0</v>
      </c>
      <c r="I8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90" spans="1:9" x14ac:dyDescent="0.35">
      <c r="A90" t="s">
        <v>96</v>
      </c>
      <c r="B90" t="s">
        <v>5</v>
      </c>
      <c r="C90" s="4">
        <v>46183</v>
      </c>
      <c r="D90" s="4">
        <v>46213</v>
      </c>
      <c r="E90" s="1">
        <v>4842.54</v>
      </c>
      <c r="F90" t="s">
        <v>18</v>
      </c>
      <c r="G90">
        <f t="shared" si="2"/>
        <v>30</v>
      </c>
      <c r="H90">
        <f t="shared" ca="1" si="3"/>
        <v>75</v>
      </c>
      <c r="I90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61-90 days</v>
      </c>
    </row>
    <row r="91" spans="1:9" x14ac:dyDescent="0.35">
      <c r="A91" t="s">
        <v>97</v>
      </c>
      <c r="B91" t="s">
        <v>2</v>
      </c>
      <c r="C91" s="4">
        <v>45827</v>
      </c>
      <c r="D91" s="4">
        <v>45857</v>
      </c>
      <c r="E91" s="1">
        <v>23152.080000000002</v>
      </c>
      <c r="F91" t="s">
        <v>18</v>
      </c>
      <c r="G91">
        <f t="shared" si="2"/>
        <v>30</v>
      </c>
      <c r="H91">
        <f t="shared" ca="1" si="3"/>
        <v>431</v>
      </c>
      <c r="I91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92" spans="1:9" x14ac:dyDescent="0.35">
      <c r="A92" t="s">
        <v>98</v>
      </c>
      <c r="B92" t="s">
        <v>2</v>
      </c>
      <c r="C92" s="4">
        <v>45840</v>
      </c>
      <c r="D92" s="4">
        <v>45870</v>
      </c>
      <c r="E92" s="1">
        <v>20323.05</v>
      </c>
      <c r="F92" t="s">
        <v>3</v>
      </c>
      <c r="G92">
        <f t="shared" si="2"/>
        <v>30</v>
      </c>
      <c r="H92">
        <f t="shared" ca="1" si="3"/>
        <v>0</v>
      </c>
      <c r="I9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93" spans="1:9" x14ac:dyDescent="0.35">
      <c r="A93" t="s">
        <v>99</v>
      </c>
      <c r="B93" t="s">
        <v>2</v>
      </c>
      <c r="C93" s="4">
        <v>45627</v>
      </c>
      <c r="D93" s="4">
        <v>45657</v>
      </c>
      <c r="E93" s="1">
        <v>22925.759999999998</v>
      </c>
      <c r="F93" t="s">
        <v>3</v>
      </c>
      <c r="G93">
        <f t="shared" si="2"/>
        <v>30</v>
      </c>
      <c r="H93">
        <f t="shared" ca="1" si="3"/>
        <v>0</v>
      </c>
      <c r="I9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94" spans="1:9" x14ac:dyDescent="0.35">
      <c r="A94" t="s">
        <v>100</v>
      </c>
      <c r="B94" t="s">
        <v>7</v>
      </c>
      <c r="C94" s="4">
        <v>44999</v>
      </c>
      <c r="D94" s="4">
        <v>45029</v>
      </c>
      <c r="E94" s="1">
        <v>46613.14</v>
      </c>
      <c r="F94" t="s">
        <v>3</v>
      </c>
      <c r="G94">
        <f t="shared" si="2"/>
        <v>30</v>
      </c>
      <c r="H94">
        <f t="shared" ca="1" si="3"/>
        <v>0</v>
      </c>
      <c r="I9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95" spans="1:9" x14ac:dyDescent="0.35">
      <c r="A95" t="s">
        <v>101</v>
      </c>
      <c r="B95" t="s">
        <v>11</v>
      </c>
      <c r="C95" s="4">
        <v>45521</v>
      </c>
      <c r="D95" s="4">
        <v>45551</v>
      </c>
      <c r="E95" s="1">
        <v>34370.58</v>
      </c>
      <c r="F95" t="s">
        <v>3</v>
      </c>
      <c r="G95">
        <f t="shared" si="2"/>
        <v>30</v>
      </c>
      <c r="H95">
        <f t="shared" ca="1" si="3"/>
        <v>0</v>
      </c>
      <c r="I9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96" spans="1:9" x14ac:dyDescent="0.35">
      <c r="A96" t="s">
        <v>102</v>
      </c>
      <c r="B96" t="s">
        <v>5</v>
      </c>
      <c r="C96" s="4">
        <v>45627</v>
      </c>
      <c r="D96" s="4">
        <v>45657</v>
      </c>
      <c r="E96" s="1">
        <v>12095.84</v>
      </c>
      <c r="F96" t="s">
        <v>3</v>
      </c>
      <c r="G96">
        <f t="shared" si="2"/>
        <v>30</v>
      </c>
      <c r="H96">
        <f t="shared" ca="1" si="3"/>
        <v>0</v>
      </c>
      <c r="I9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97" spans="1:9" x14ac:dyDescent="0.35">
      <c r="A97" t="s">
        <v>103</v>
      </c>
      <c r="B97" t="s">
        <v>11</v>
      </c>
      <c r="C97" s="4">
        <v>46253</v>
      </c>
      <c r="D97" s="4">
        <v>46283</v>
      </c>
      <c r="E97" s="1">
        <v>18993.95</v>
      </c>
      <c r="F97" t="s">
        <v>3</v>
      </c>
      <c r="G97">
        <f t="shared" si="2"/>
        <v>30</v>
      </c>
      <c r="H97">
        <f t="shared" ca="1" si="3"/>
        <v>0</v>
      </c>
      <c r="I9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98" spans="1:9" x14ac:dyDescent="0.35">
      <c r="A98" t="s">
        <v>104</v>
      </c>
      <c r="B98" t="s">
        <v>11</v>
      </c>
      <c r="C98" s="4">
        <v>45758</v>
      </c>
      <c r="D98" s="4">
        <v>45788</v>
      </c>
      <c r="E98" s="1">
        <v>16657.87</v>
      </c>
      <c r="F98" t="s">
        <v>3</v>
      </c>
      <c r="G98">
        <f t="shared" si="2"/>
        <v>30</v>
      </c>
      <c r="H98">
        <f t="shared" ca="1" si="3"/>
        <v>0</v>
      </c>
      <c r="I9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99" spans="1:9" x14ac:dyDescent="0.35">
      <c r="A99" t="s">
        <v>105</v>
      </c>
      <c r="B99" t="s">
        <v>7</v>
      </c>
      <c r="C99" s="4">
        <v>46171</v>
      </c>
      <c r="D99" s="4">
        <v>46201</v>
      </c>
      <c r="E99" s="1">
        <v>24148.86</v>
      </c>
      <c r="F99" t="s">
        <v>3</v>
      </c>
      <c r="G99">
        <f t="shared" si="2"/>
        <v>30</v>
      </c>
      <c r="H99">
        <f t="shared" ca="1" si="3"/>
        <v>0</v>
      </c>
      <c r="I9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00" spans="1:9" x14ac:dyDescent="0.35">
      <c r="A100" t="s">
        <v>106</v>
      </c>
      <c r="B100" t="s">
        <v>7</v>
      </c>
      <c r="C100" s="4">
        <v>45770</v>
      </c>
      <c r="D100" s="4">
        <v>45800</v>
      </c>
      <c r="E100" s="1">
        <v>29198.25</v>
      </c>
      <c r="F100" t="s">
        <v>3</v>
      </c>
      <c r="G100">
        <f t="shared" si="2"/>
        <v>30</v>
      </c>
      <c r="H100">
        <f t="shared" ca="1" si="3"/>
        <v>0</v>
      </c>
      <c r="I10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01" spans="1:9" x14ac:dyDescent="0.35">
      <c r="A101" t="s">
        <v>107</v>
      </c>
      <c r="B101" t="s">
        <v>11</v>
      </c>
      <c r="C101" s="4">
        <v>45933</v>
      </c>
      <c r="D101" s="4">
        <v>45963</v>
      </c>
      <c r="E101" s="1">
        <v>13688.32</v>
      </c>
      <c r="F101" t="s">
        <v>3</v>
      </c>
      <c r="G101">
        <f t="shared" si="2"/>
        <v>30</v>
      </c>
      <c r="H101">
        <f t="shared" ca="1" si="3"/>
        <v>0</v>
      </c>
      <c r="I10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02" spans="1:9" x14ac:dyDescent="0.35">
      <c r="A102" t="s">
        <v>108</v>
      </c>
      <c r="B102" t="s">
        <v>7</v>
      </c>
      <c r="C102" s="4">
        <v>45541</v>
      </c>
      <c r="D102" s="4">
        <v>45571</v>
      </c>
      <c r="E102" s="1">
        <v>49606.76</v>
      </c>
      <c r="F102" t="s">
        <v>3</v>
      </c>
      <c r="G102">
        <f t="shared" si="2"/>
        <v>30</v>
      </c>
      <c r="H102">
        <f t="shared" ca="1" si="3"/>
        <v>0</v>
      </c>
      <c r="I10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03" spans="1:9" x14ac:dyDescent="0.35">
      <c r="A103" t="s">
        <v>109</v>
      </c>
      <c r="B103" t="s">
        <v>7</v>
      </c>
      <c r="C103" s="4">
        <v>45945</v>
      </c>
      <c r="D103" s="4">
        <v>45975</v>
      </c>
      <c r="E103" s="1">
        <v>43086.83</v>
      </c>
      <c r="F103" t="s">
        <v>3</v>
      </c>
      <c r="G103">
        <f t="shared" si="2"/>
        <v>30</v>
      </c>
      <c r="H103">
        <f t="shared" ca="1" si="3"/>
        <v>0</v>
      </c>
      <c r="I10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04" spans="1:9" x14ac:dyDescent="0.35">
      <c r="A104" t="s">
        <v>110</v>
      </c>
      <c r="B104" t="s">
        <v>5</v>
      </c>
      <c r="C104" s="4">
        <v>44949</v>
      </c>
      <c r="D104" s="4">
        <v>44979</v>
      </c>
      <c r="E104" s="1">
        <v>39061.230000000003</v>
      </c>
      <c r="F104" t="s">
        <v>18</v>
      </c>
      <c r="G104">
        <f t="shared" si="2"/>
        <v>30</v>
      </c>
      <c r="H104">
        <f t="shared" ca="1" si="3"/>
        <v>1309</v>
      </c>
      <c r="I104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105" spans="1:9" x14ac:dyDescent="0.35">
      <c r="A105" t="s">
        <v>111</v>
      </c>
      <c r="B105" t="s">
        <v>9</v>
      </c>
      <c r="C105" s="4">
        <v>45209</v>
      </c>
      <c r="D105" s="4">
        <v>45239</v>
      </c>
      <c r="E105" s="1">
        <v>5864.85</v>
      </c>
      <c r="F105" t="s">
        <v>3</v>
      </c>
      <c r="G105">
        <f t="shared" si="2"/>
        <v>30</v>
      </c>
      <c r="H105">
        <f t="shared" ca="1" si="3"/>
        <v>0</v>
      </c>
      <c r="I10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06" spans="1:9" x14ac:dyDescent="0.35">
      <c r="A106" t="s">
        <v>112</v>
      </c>
      <c r="B106" t="s">
        <v>9</v>
      </c>
      <c r="C106" s="4">
        <v>45744</v>
      </c>
      <c r="D106" s="4">
        <v>45774</v>
      </c>
      <c r="E106" s="1">
        <v>35890.32</v>
      </c>
      <c r="F106" t="s">
        <v>3</v>
      </c>
      <c r="G106">
        <f t="shared" si="2"/>
        <v>30</v>
      </c>
      <c r="H106">
        <f t="shared" ca="1" si="3"/>
        <v>0</v>
      </c>
      <c r="I10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07" spans="1:9" x14ac:dyDescent="0.35">
      <c r="A107" t="s">
        <v>113</v>
      </c>
      <c r="B107" t="s">
        <v>11</v>
      </c>
      <c r="C107" s="4">
        <v>45757</v>
      </c>
      <c r="D107" s="4">
        <v>45787</v>
      </c>
      <c r="E107" s="1">
        <v>25095.86</v>
      </c>
      <c r="F107" t="s">
        <v>3</v>
      </c>
      <c r="G107">
        <f t="shared" si="2"/>
        <v>30</v>
      </c>
      <c r="H107">
        <f t="shared" ca="1" si="3"/>
        <v>0</v>
      </c>
      <c r="I10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08" spans="1:9" x14ac:dyDescent="0.35">
      <c r="A108" t="s">
        <v>114</v>
      </c>
      <c r="B108" t="s">
        <v>7</v>
      </c>
      <c r="C108" s="4">
        <v>45060</v>
      </c>
      <c r="D108" s="4">
        <v>45090</v>
      </c>
      <c r="E108" s="1">
        <v>38508.86</v>
      </c>
      <c r="F108" t="s">
        <v>3</v>
      </c>
      <c r="G108">
        <f t="shared" si="2"/>
        <v>30</v>
      </c>
      <c r="H108">
        <f t="shared" ca="1" si="3"/>
        <v>0</v>
      </c>
      <c r="I10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09" spans="1:9" x14ac:dyDescent="0.35">
      <c r="A109" t="s">
        <v>115</v>
      </c>
      <c r="B109" t="s">
        <v>2</v>
      </c>
      <c r="C109" s="4">
        <v>45947</v>
      </c>
      <c r="D109" s="4">
        <v>45977</v>
      </c>
      <c r="E109" s="1">
        <v>18855.55</v>
      </c>
      <c r="F109" t="s">
        <v>3</v>
      </c>
      <c r="G109">
        <f t="shared" si="2"/>
        <v>30</v>
      </c>
      <c r="H109">
        <f t="shared" ca="1" si="3"/>
        <v>0</v>
      </c>
      <c r="I10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10" spans="1:9" x14ac:dyDescent="0.35">
      <c r="A110" t="s">
        <v>116</v>
      </c>
      <c r="B110" t="s">
        <v>11</v>
      </c>
      <c r="C110" s="4">
        <v>45002</v>
      </c>
      <c r="D110" s="4">
        <v>45032</v>
      </c>
      <c r="E110" s="1">
        <v>26742.7</v>
      </c>
      <c r="F110" t="s">
        <v>3</v>
      </c>
      <c r="G110">
        <f t="shared" si="2"/>
        <v>30</v>
      </c>
      <c r="H110">
        <f t="shared" ca="1" si="3"/>
        <v>0</v>
      </c>
      <c r="I11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11" spans="1:9" x14ac:dyDescent="0.35">
      <c r="A111" t="s">
        <v>117</v>
      </c>
      <c r="B111" t="s">
        <v>2</v>
      </c>
      <c r="C111" s="4">
        <v>45894</v>
      </c>
      <c r="D111" s="4">
        <v>45924</v>
      </c>
      <c r="E111" s="1">
        <v>22968.84</v>
      </c>
      <c r="F111" t="s">
        <v>3</v>
      </c>
      <c r="G111">
        <f t="shared" si="2"/>
        <v>30</v>
      </c>
      <c r="H111">
        <f t="shared" ca="1" si="3"/>
        <v>0</v>
      </c>
      <c r="I11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12" spans="1:9" x14ac:dyDescent="0.35">
      <c r="A112" t="s">
        <v>118</v>
      </c>
      <c r="B112" t="s">
        <v>2</v>
      </c>
      <c r="C112" s="4">
        <v>45361</v>
      </c>
      <c r="D112" s="4">
        <v>45391</v>
      </c>
      <c r="E112" s="1">
        <v>12607.8</v>
      </c>
      <c r="F112" t="s">
        <v>18</v>
      </c>
      <c r="G112">
        <f t="shared" si="2"/>
        <v>30</v>
      </c>
      <c r="H112">
        <f t="shared" ca="1" si="3"/>
        <v>897</v>
      </c>
      <c r="I112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113" spans="1:9" x14ac:dyDescent="0.35">
      <c r="A113" t="s">
        <v>119</v>
      </c>
      <c r="B113" t="s">
        <v>11</v>
      </c>
      <c r="C113" s="4">
        <v>45429</v>
      </c>
      <c r="D113" s="4">
        <v>45459</v>
      </c>
      <c r="E113" s="1">
        <v>31976.52</v>
      </c>
      <c r="F113" t="s">
        <v>3</v>
      </c>
      <c r="G113">
        <f t="shared" si="2"/>
        <v>30</v>
      </c>
      <c r="H113">
        <f t="shared" ca="1" si="3"/>
        <v>0</v>
      </c>
      <c r="I11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14" spans="1:9" x14ac:dyDescent="0.35">
      <c r="A114" t="s">
        <v>120</v>
      </c>
      <c r="B114" t="s">
        <v>11</v>
      </c>
      <c r="C114" s="4">
        <v>45024</v>
      </c>
      <c r="D114" s="4">
        <v>45054</v>
      </c>
      <c r="E114" s="1">
        <v>1146.3</v>
      </c>
      <c r="F114" t="s">
        <v>3</v>
      </c>
      <c r="G114">
        <f t="shared" si="2"/>
        <v>30</v>
      </c>
      <c r="H114">
        <f t="shared" ca="1" si="3"/>
        <v>0</v>
      </c>
      <c r="I11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15" spans="1:9" x14ac:dyDescent="0.35">
      <c r="A115" t="s">
        <v>121</v>
      </c>
      <c r="B115" t="s">
        <v>9</v>
      </c>
      <c r="C115" s="4">
        <v>45193</v>
      </c>
      <c r="D115" s="4">
        <v>45223</v>
      </c>
      <c r="E115" s="1">
        <v>41026.9</v>
      </c>
      <c r="F115" t="s">
        <v>3</v>
      </c>
      <c r="G115">
        <f t="shared" si="2"/>
        <v>30</v>
      </c>
      <c r="H115">
        <f t="shared" ca="1" si="3"/>
        <v>0</v>
      </c>
      <c r="I11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16" spans="1:9" x14ac:dyDescent="0.35">
      <c r="A116" t="s">
        <v>122</v>
      </c>
      <c r="B116" t="s">
        <v>5</v>
      </c>
      <c r="C116" s="4">
        <v>45134</v>
      </c>
      <c r="D116" s="4">
        <v>45164</v>
      </c>
      <c r="E116" s="1">
        <v>20238.07</v>
      </c>
      <c r="F116" t="s">
        <v>3</v>
      </c>
      <c r="G116">
        <f t="shared" si="2"/>
        <v>30</v>
      </c>
      <c r="H116">
        <f t="shared" ca="1" si="3"/>
        <v>0</v>
      </c>
      <c r="I11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17" spans="1:9" x14ac:dyDescent="0.35">
      <c r="A117" t="s">
        <v>123</v>
      </c>
      <c r="B117" t="s">
        <v>7</v>
      </c>
      <c r="C117" s="4">
        <v>46156</v>
      </c>
      <c r="D117" s="4">
        <v>46186</v>
      </c>
      <c r="E117" s="1">
        <v>5545.39</v>
      </c>
      <c r="F117" t="s">
        <v>3</v>
      </c>
      <c r="G117">
        <f t="shared" si="2"/>
        <v>30</v>
      </c>
      <c r="H117">
        <f t="shared" ca="1" si="3"/>
        <v>0</v>
      </c>
      <c r="I11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18" spans="1:9" x14ac:dyDescent="0.35">
      <c r="A118" t="s">
        <v>124</v>
      </c>
      <c r="B118" t="s">
        <v>9</v>
      </c>
      <c r="C118" s="4">
        <v>45273</v>
      </c>
      <c r="D118" s="4">
        <v>45303</v>
      </c>
      <c r="E118" s="1">
        <v>20633.37</v>
      </c>
      <c r="F118" t="s">
        <v>3</v>
      </c>
      <c r="G118">
        <f t="shared" si="2"/>
        <v>30</v>
      </c>
      <c r="H118">
        <f t="shared" ca="1" si="3"/>
        <v>0</v>
      </c>
      <c r="I11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19" spans="1:9" x14ac:dyDescent="0.35">
      <c r="A119" t="s">
        <v>125</v>
      </c>
      <c r="B119" t="s">
        <v>2</v>
      </c>
      <c r="C119" s="4">
        <v>45318</v>
      </c>
      <c r="D119" s="4">
        <v>45348</v>
      </c>
      <c r="E119" s="1">
        <v>22556.01</v>
      </c>
      <c r="F119" t="s">
        <v>3</v>
      </c>
      <c r="G119">
        <f t="shared" si="2"/>
        <v>30</v>
      </c>
      <c r="H119">
        <f t="shared" ca="1" si="3"/>
        <v>0</v>
      </c>
      <c r="I11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20" spans="1:9" x14ac:dyDescent="0.35">
      <c r="A120" t="s">
        <v>126</v>
      </c>
      <c r="B120" t="s">
        <v>5</v>
      </c>
      <c r="C120" s="4">
        <v>45694</v>
      </c>
      <c r="D120" s="4">
        <v>45724</v>
      </c>
      <c r="E120" s="1">
        <v>37028.83</v>
      </c>
      <c r="F120" t="s">
        <v>3</v>
      </c>
      <c r="G120">
        <f t="shared" si="2"/>
        <v>30</v>
      </c>
      <c r="H120">
        <f t="shared" ca="1" si="3"/>
        <v>0</v>
      </c>
      <c r="I12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21" spans="1:9" x14ac:dyDescent="0.35">
      <c r="A121" t="s">
        <v>127</v>
      </c>
      <c r="B121" t="s">
        <v>9</v>
      </c>
      <c r="C121" s="4">
        <v>45077</v>
      </c>
      <c r="D121" s="4">
        <v>45107</v>
      </c>
      <c r="E121" s="1">
        <v>46070.94</v>
      </c>
      <c r="F121" t="s">
        <v>3</v>
      </c>
      <c r="G121">
        <f t="shared" si="2"/>
        <v>30</v>
      </c>
      <c r="H121">
        <f t="shared" ca="1" si="3"/>
        <v>0</v>
      </c>
      <c r="I12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22" spans="1:9" x14ac:dyDescent="0.35">
      <c r="A122" t="s">
        <v>128</v>
      </c>
      <c r="B122" t="s">
        <v>5</v>
      </c>
      <c r="C122" s="4">
        <v>46204</v>
      </c>
      <c r="D122" s="4">
        <v>46234</v>
      </c>
      <c r="E122" s="1">
        <v>16524.330000000002</v>
      </c>
      <c r="F122" t="s">
        <v>3</v>
      </c>
      <c r="G122">
        <f t="shared" si="2"/>
        <v>30</v>
      </c>
      <c r="H122">
        <f t="shared" ca="1" si="3"/>
        <v>0</v>
      </c>
      <c r="I12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23" spans="1:9" x14ac:dyDescent="0.35">
      <c r="A123" t="s">
        <v>129</v>
      </c>
      <c r="B123" t="s">
        <v>2</v>
      </c>
      <c r="C123" s="4">
        <v>45753</v>
      </c>
      <c r="D123" s="4">
        <v>45783</v>
      </c>
      <c r="E123" s="1">
        <v>11858.49</v>
      </c>
      <c r="F123" t="s">
        <v>3</v>
      </c>
      <c r="G123">
        <f t="shared" si="2"/>
        <v>30</v>
      </c>
      <c r="H123">
        <f t="shared" ca="1" si="3"/>
        <v>0</v>
      </c>
      <c r="I12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24" spans="1:9" x14ac:dyDescent="0.35">
      <c r="A124" t="s">
        <v>130</v>
      </c>
      <c r="B124" t="s">
        <v>9</v>
      </c>
      <c r="C124" s="4">
        <v>44951</v>
      </c>
      <c r="D124" s="4">
        <v>44981</v>
      </c>
      <c r="E124" s="1">
        <v>6418.07</v>
      </c>
      <c r="F124" t="s">
        <v>3</v>
      </c>
      <c r="G124">
        <f t="shared" si="2"/>
        <v>30</v>
      </c>
      <c r="H124">
        <f t="shared" ca="1" si="3"/>
        <v>0</v>
      </c>
      <c r="I12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25" spans="1:9" x14ac:dyDescent="0.35">
      <c r="A125" t="s">
        <v>131</v>
      </c>
      <c r="B125" t="s">
        <v>9</v>
      </c>
      <c r="C125" s="4">
        <v>45711</v>
      </c>
      <c r="D125" s="4">
        <v>45741</v>
      </c>
      <c r="E125" s="1">
        <v>46078.8</v>
      </c>
      <c r="F125" t="s">
        <v>3</v>
      </c>
      <c r="G125">
        <f t="shared" si="2"/>
        <v>30</v>
      </c>
      <c r="H125">
        <f t="shared" ca="1" si="3"/>
        <v>0</v>
      </c>
      <c r="I12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26" spans="1:9" x14ac:dyDescent="0.35">
      <c r="A126" t="s">
        <v>132</v>
      </c>
      <c r="B126" t="s">
        <v>7</v>
      </c>
      <c r="C126" s="4">
        <v>45151</v>
      </c>
      <c r="D126" s="4">
        <v>45181</v>
      </c>
      <c r="E126" s="1">
        <v>3421.68</v>
      </c>
      <c r="F126" t="s">
        <v>18</v>
      </c>
      <c r="G126">
        <f t="shared" si="2"/>
        <v>30</v>
      </c>
      <c r="H126">
        <f t="shared" ca="1" si="3"/>
        <v>1107</v>
      </c>
      <c r="I126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127" spans="1:9" x14ac:dyDescent="0.35">
      <c r="A127" t="s">
        <v>133</v>
      </c>
      <c r="B127" t="s">
        <v>7</v>
      </c>
      <c r="C127" s="4">
        <v>45141</v>
      </c>
      <c r="D127" s="4">
        <v>45171</v>
      </c>
      <c r="E127" s="1">
        <v>14705.95</v>
      </c>
      <c r="F127" t="s">
        <v>3</v>
      </c>
      <c r="G127">
        <f t="shared" si="2"/>
        <v>30</v>
      </c>
      <c r="H127">
        <f t="shared" ca="1" si="3"/>
        <v>0</v>
      </c>
      <c r="I12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28" spans="1:9" x14ac:dyDescent="0.35">
      <c r="A128" t="s">
        <v>134</v>
      </c>
      <c r="B128" t="s">
        <v>7</v>
      </c>
      <c r="C128" s="4">
        <v>45220</v>
      </c>
      <c r="D128" s="4">
        <v>45250</v>
      </c>
      <c r="E128" s="1">
        <v>49320.33</v>
      </c>
      <c r="F128" t="s">
        <v>3</v>
      </c>
      <c r="G128">
        <f t="shared" si="2"/>
        <v>30</v>
      </c>
      <c r="H128">
        <f t="shared" ca="1" si="3"/>
        <v>0</v>
      </c>
      <c r="I12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29" spans="1:9" x14ac:dyDescent="0.35">
      <c r="A129" t="s">
        <v>135</v>
      </c>
      <c r="B129" t="s">
        <v>5</v>
      </c>
      <c r="C129" s="4">
        <v>44959</v>
      </c>
      <c r="D129" s="4">
        <v>44989</v>
      </c>
      <c r="E129" s="1">
        <v>46441.36</v>
      </c>
      <c r="F129" t="s">
        <v>3</v>
      </c>
      <c r="G129">
        <f t="shared" si="2"/>
        <v>30</v>
      </c>
      <c r="H129">
        <f t="shared" ca="1" si="3"/>
        <v>0</v>
      </c>
      <c r="I12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30" spans="1:9" x14ac:dyDescent="0.35">
      <c r="A130" t="s">
        <v>136</v>
      </c>
      <c r="B130" t="s">
        <v>7</v>
      </c>
      <c r="C130" s="4">
        <v>46069</v>
      </c>
      <c r="D130" s="4">
        <v>46099</v>
      </c>
      <c r="E130" s="1">
        <v>32527.86</v>
      </c>
      <c r="F130" t="s">
        <v>3</v>
      </c>
      <c r="G130">
        <f t="shared" ref="G130:G193" si="4">D130-C130</f>
        <v>30</v>
      </c>
      <c r="H130">
        <f t="shared" ref="H130:H193" ca="1" si="5">IF(F130="Unpaid", TODAY() - D130, 0)</f>
        <v>0</v>
      </c>
      <c r="I13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31" spans="1:9" x14ac:dyDescent="0.35">
      <c r="A131" t="s">
        <v>137</v>
      </c>
      <c r="B131" t="s">
        <v>11</v>
      </c>
      <c r="C131" s="4">
        <v>46239</v>
      </c>
      <c r="D131" s="4">
        <v>46269</v>
      </c>
      <c r="E131" s="1">
        <v>47343.58</v>
      </c>
      <c r="F131" t="s">
        <v>3</v>
      </c>
      <c r="G131">
        <f t="shared" si="4"/>
        <v>30</v>
      </c>
      <c r="H131">
        <f t="shared" ca="1" si="5"/>
        <v>0</v>
      </c>
      <c r="I13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32" spans="1:9" x14ac:dyDescent="0.35">
      <c r="A132" t="s">
        <v>138</v>
      </c>
      <c r="B132" t="s">
        <v>11</v>
      </c>
      <c r="C132" s="4">
        <v>45731</v>
      </c>
      <c r="D132" s="4">
        <v>45761</v>
      </c>
      <c r="E132" s="1">
        <v>18171.66</v>
      </c>
      <c r="F132" t="s">
        <v>18</v>
      </c>
      <c r="G132">
        <f t="shared" si="4"/>
        <v>30</v>
      </c>
      <c r="H132">
        <f t="shared" ca="1" si="5"/>
        <v>527</v>
      </c>
      <c r="I132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133" spans="1:9" x14ac:dyDescent="0.35">
      <c r="A133" t="s">
        <v>139</v>
      </c>
      <c r="B133" t="s">
        <v>11</v>
      </c>
      <c r="C133" s="4">
        <v>45156</v>
      </c>
      <c r="D133" s="4">
        <v>45186</v>
      </c>
      <c r="E133" s="1">
        <v>6875.16</v>
      </c>
      <c r="F133" t="s">
        <v>3</v>
      </c>
      <c r="G133">
        <f t="shared" si="4"/>
        <v>30</v>
      </c>
      <c r="H133">
        <f t="shared" ca="1" si="5"/>
        <v>0</v>
      </c>
      <c r="I13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34" spans="1:9" x14ac:dyDescent="0.35">
      <c r="A134" t="s">
        <v>140</v>
      </c>
      <c r="B134" t="s">
        <v>5</v>
      </c>
      <c r="C134" s="4">
        <v>46078</v>
      </c>
      <c r="D134" s="4">
        <v>46108</v>
      </c>
      <c r="E134" s="1">
        <v>30911.13</v>
      </c>
      <c r="F134" t="s">
        <v>3</v>
      </c>
      <c r="G134">
        <f t="shared" si="4"/>
        <v>30</v>
      </c>
      <c r="H134">
        <f t="shared" ca="1" si="5"/>
        <v>0</v>
      </c>
      <c r="I13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35" spans="1:9" x14ac:dyDescent="0.35">
      <c r="A135" t="s">
        <v>141</v>
      </c>
      <c r="B135" t="s">
        <v>2</v>
      </c>
      <c r="C135" s="4">
        <v>45601</v>
      </c>
      <c r="D135" s="4">
        <v>45631</v>
      </c>
      <c r="E135" s="1">
        <v>4915.9799999999996</v>
      </c>
      <c r="F135" t="s">
        <v>3</v>
      </c>
      <c r="G135">
        <f t="shared" si="4"/>
        <v>30</v>
      </c>
      <c r="H135">
        <f t="shared" ca="1" si="5"/>
        <v>0</v>
      </c>
      <c r="I13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36" spans="1:9" x14ac:dyDescent="0.35">
      <c r="A136" t="s">
        <v>142</v>
      </c>
      <c r="B136" t="s">
        <v>9</v>
      </c>
      <c r="C136" s="4">
        <v>45604</v>
      </c>
      <c r="D136" s="4">
        <v>45634</v>
      </c>
      <c r="E136" s="1">
        <v>32298.61</v>
      </c>
      <c r="F136" t="s">
        <v>3</v>
      </c>
      <c r="G136">
        <f t="shared" si="4"/>
        <v>30</v>
      </c>
      <c r="H136">
        <f t="shared" ca="1" si="5"/>
        <v>0</v>
      </c>
      <c r="I13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37" spans="1:9" x14ac:dyDescent="0.35">
      <c r="A137" t="s">
        <v>143</v>
      </c>
      <c r="B137" t="s">
        <v>9</v>
      </c>
      <c r="C137" s="4">
        <v>44997</v>
      </c>
      <c r="D137" s="4">
        <v>45027</v>
      </c>
      <c r="E137" s="1">
        <v>33970.910000000003</v>
      </c>
      <c r="F137" t="s">
        <v>3</v>
      </c>
      <c r="G137">
        <f t="shared" si="4"/>
        <v>30</v>
      </c>
      <c r="H137">
        <f t="shared" ca="1" si="5"/>
        <v>0</v>
      </c>
      <c r="I13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38" spans="1:9" x14ac:dyDescent="0.35">
      <c r="A138" t="s">
        <v>144</v>
      </c>
      <c r="B138" t="s">
        <v>11</v>
      </c>
      <c r="C138" s="4">
        <v>46112</v>
      </c>
      <c r="D138" s="4">
        <v>46142</v>
      </c>
      <c r="E138" s="1">
        <v>26614.68</v>
      </c>
      <c r="F138" t="s">
        <v>3</v>
      </c>
      <c r="G138">
        <f t="shared" si="4"/>
        <v>30</v>
      </c>
      <c r="H138">
        <f t="shared" ca="1" si="5"/>
        <v>0</v>
      </c>
      <c r="I13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39" spans="1:9" x14ac:dyDescent="0.35">
      <c r="A139" t="s">
        <v>145</v>
      </c>
      <c r="B139" t="s">
        <v>5</v>
      </c>
      <c r="C139" s="4">
        <v>46215</v>
      </c>
      <c r="D139" s="4">
        <v>46245</v>
      </c>
      <c r="E139" s="1">
        <v>6796.51</v>
      </c>
      <c r="F139" t="s">
        <v>3</v>
      </c>
      <c r="G139">
        <f t="shared" si="4"/>
        <v>30</v>
      </c>
      <c r="H139">
        <f t="shared" ca="1" si="5"/>
        <v>0</v>
      </c>
      <c r="I13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40" spans="1:9" x14ac:dyDescent="0.35">
      <c r="A140" t="s">
        <v>146</v>
      </c>
      <c r="B140" t="s">
        <v>5</v>
      </c>
      <c r="C140" s="4">
        <v>45956</v>
      </c>
      <c r="D140" s="4">
        <v>45986</v>
      </c>
      <c r="E140" s="1">
        <v>24834.6</v>
      </c>
      <c r="F140" t="s">
        <v>3</v>
      </c>
      <c r="G140">
        <f t="shared" si="4"/>
        <v>30</v>
      </c>
      <c r="H140">
        <f t="shared" ca="1" si="5"/>
        <v>0</v>
      </c>
      <c r="I14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41" spans="1:9" x14ac:dyDescent="0.35">
      <c r="A141" t="s">
        <v>147</v>
      </c>
      <c r="B141" t="s">
        <v>9</v>
      </c>
      <c r="C141" s="4">
        <v>45075</v>
      </c>
      <c r="D141" s="4">
        <v>45105</v>
      </c>
      <c r="E141" s="1">
        <v>13097.76</v>
      </c>
      <c r="F141" t="s">
        <v>3</v>
      </c>
      <c r="G141">
        <f t="shared" si="4"/>
        <v>30</v>
      </c>
      <c r="H141">
        <f t="shared" ca="1" si="5"/>
        <v>0</v>
      </c>
      <c r="I14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42" spans="1:9" x14ac:dyDescent="0.35">
      <c r="A142" t="s">
        <v>148</v>
      </c>
      <c r="B142" t="s">
        <v>7</v>
      </c>
      <c r="C142" s="4">
        <v>46181</v>
      </c>
      <c r="D142" s="4">
        <v>46211</v>
      </c>
      <c r="E142" s="1">
        <v>47514.41</v>
      </c>
      <c r="F142" t="s">
        <v>3</v>
      </c>
      <c r="G142">
        <f t="shared" si="4"/>
        <v>30</v>
      </c>
      <c r="H142">
        <f t="shared" ca="1" si="5"/>
        <v>0</v>
      </c>
      <c r="I14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43" spans="1:9" x14ac:dyDescent="0.35">
      <c r="A143" t="s">
        <v>149</v>
      </c>
      <c r="B143" t="s">
        <v>5</v>
      </c>
      <c r="C143" s="4">
        <v>45687</v>
      </c>
      <c r="D143" s="4">
        <v>45717</v>
      </c>
      <c r="E143" s="1">
        <v>20119.900000000001</v>
      </c>
      <c r="F143" t="s">
        <v>3</v>
      </c>
      <c r="G143">
        <f t="shared" si="4"/>
        <v>30</v>
      </c>
      <c r="H143">
        <f t="shared" ca="1" si="5"/>
        <v>0</v>
      </c>
      <c r="I14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44" spans="1:9" x14ac:dyDescent="0.35">
      <c r="A144" t="s">
        <v>150</v>
      </c>
      <c r="B144" t="s">
        <v>7</v>
      </c>
      <c r="C144" s="4">
        <v>45108</v>
      </c>
      <c r="D144" s="4">
        <v>45138</v>
      </c>
      <c r="E144" s="1">
        <v>5020.83</v>
      </c>
      <c r="F144" t="s">
        <v>3</v>
      </c>
      <c r="G144">
        <f t="shared" si="4"/>
        <v>30</v>
      </c>
      <c r="H144">
        <f t="shared" ca="1" si="5"/>
        <v>0</v>
      </c>
      <c r="I14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45" spans="1:9" x14ac:dyDescent="0.35">
      <c r="A145" t="s">
        <v>151</v>
      </c>
      <c r="B145" t="s">
        <v>9</v>
      </c>
      <c r="C145" s="4">
        <v>44992</v>
      </c>
      <c r="D145" s="4">
        <v>45022</v>
      </c>
      <c r="E145" s="1">
        <v>15253.54</v>
      </c>
      <c r="F145" t="s">
        <v>3</v>
      </c>
      <c r="G145">
        <f t="shared" si="4"/>
        <v>30</v>
      </c>
      <c r="H145">
        <f t="shared" ca="1" si="5"/>
        <v>0</v>
      </c>
      <c r="I14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46" spans="1:9" x14ac:dyDescent="0.35">
      <c r="A146" t="s">
        <v>152</v>
      </c>
      <c r="B146" t="s">
        <v>2</v>
      </c>
      <c r="C146" s="4">
        <v>45426</v>
      </c>
      <c r="D146" s="4">
        <v>45456</v>
      </c>
      <c r="E146" s="1">
        <v>45071.69</v>
      </c>
      <c r="F146" t="s">
        <v>3</v>
      </c>
      <c r="G146">
        <f t="shared" si="4"/>
        <v>30</v>
      </c>
      <c r="H146">
        <f t="shared" ca="1" si="5"/>
        <v>0</v>
      </c>
      <c r="I14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47" spans="1:9" x14ac:dyDescent="0.35">
      <c r="A147" t="s">
        <v>153</v>
      </c>
      <c r="B147" t="s">
        <v>5</v>
      </c>
      <c r="C147" s="4">
        <v>45806</v>
      </c>
      <c r="D147" s="4">
        <v>45836</v>
      </c>
      <c r="E147" s="1">
        <v>28848.85</v>
      </c>
      <c r="F147" t="s">
        <v>3</v>
      </c>
      <c r="G147">
        <f t="shared" si="4"/>
        <v>30</v>
      </c>
      <c r="H147">
        <f t="shared" ca="1" si="5"/>
        <v>0</v>
      </c>
      <c r="I14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48" spans="1:9" x14ac:dyDescent="0.35">
      <c r="A148" t="s">
        <v>154</v>
      </c>
      <c r="B148" t="s">
        <v>9</v>
      </c>
      <c r="C148" s="4">
        <v>45050</v>
      </c>
      <c r="D148" s="4">
        <v>45080</v>
      </c>
      <c r="E148" s="1">
        <v>20658.580000000002</v>
      </c>
      <c r="F148" t="s">
        <v>18</v>
      </c>
      <c r="G148">
        <f t="shared" si="4"/>
        <v>30</v>
      </c>
      <c r="H148">
        <f t="shared" ca="1" si="5"/>
        <v>1208</v>
      </c>
      <c r="I148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149" spans="1:9" x14ac:dyDescent="0.35">
      <c r="A149" t="s">
        <v>155</v>
      </c>
      <c r="B149" t="s">
        <v>2</v>
      </c>
      <c r="C149" s="4">
        <v>45640</v>
      </c>
      <c r="D149" s="4">
        <v>45670</v>
      </c>
      <c r="E149" s="1">
        <v>11072.53</v>
      </c>
      <c r="F149" t="s">
        <v>3</v>
      </c>
      <c r="G149">
        <f t="shared" si="4"/>
        <v>30</v>
      </c>
      <c r="H149">
        <f t="shared" ca="1" si="5"/>
        <v>0</v>
      </c>
      <c r="I14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50" spans="1:9" x14ac:dyDescent="0.35">
      <c r="A150" t="s">
        <v>156</v>
      </c>
      <c r="B150" t="s">
        <v>2</v>
      </c>
      <c r="C150" s="4">
        <v>45718</v>
      </c>
      <c r="D150" s="4">
        <v>45748</v>
      </c>
      <c r="E150" s="1">
        <v>9129.56</v>
      </c>
      <c r="F150" t="s">
        <v>3</v>
      </c>
      <c r="G150">
        <f t="shared" si="4"/>
        <v>30</v>
      </c>
      <c r="H150">
        <f t="shared" ca="1" si="5"/>
        <v>0</v>
      </c>
      <c r="I15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51" spans="1:9" x14ac:dyDescent="0.35">
      <c r="A151" t="s">
        <v>157</v>
      </c>
      <c r="B151" t="s">
        <v>5</v>
      </c>
      <c r="C151" s="4">
        <v>46226</v>
      </c>
      <c r="D151" s="4">
        <v>46256</v>
      </c>
      <c r="E151" s="1">
        <v>44607.96</v>
      </c>
      <c r="F151" t="s">
        <v>3</v>
      </c>
      <c r="G151">
        <f t="shared" si="4"/>
        <v>30</v>
      </c>
      <c r="H151">
        <f t="shared" ca="1" si="5"/>
        <v>0</v>
      </c>
      <c r="I15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52" spans="1:9" x14ac:dyDescent="0.35">
      <c r="A152" t="s">
        <v>158</v>
      </c>
      <c r="B152" t="s">
        <v>2</v>
      </c>
      <c r="C152" s="4">
        <v>45082</v>
      </c>
      <c r="D152" s="4">
        <v>45112</v>
      </c>
      <c r="E152" s="1">
        <v>36288.22</v>
      </c>
      <c r="F152" t="s">
        <v>3</v>
      </c>
      <c r="G152">
        <f t="shared" si="4"/>
        <v>30</v>
      </c>
      <c r="H152">
        <f t="shared" ca="1" si="5"/>
        <v>0</v>
      </c>
      <c r="I15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53" spans="1:9" x14ac:dyDescent="0.35">
      <c r="A153" t="s">
        <v>159</v>
      </c>
      <c r="B153" t="s">
        <v>7</v>
      </c>
      <c r="C153" s="4">
        <v>45177</v>
      </c>
      <c r="D153" s="4">
        <v>45207</v>
      </c>
      <c r="E153" s="1">
        <v>32328.35</v>
      </c>
      <c r="F153" t="s">
        <v>3</v>
      </c>
      <c r="G153">
        <f t="shared" si="4"/>
        <v>30</v>
      </c>
      <c r="H153">
        <f t="shared" ca="1" si="5"/>
        <v>0</v>
      </c>
      <c r="I15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54" spans="1:9" x14ac:dyDescent="0.35">
      <c r="A154" t="s">
        <v>160</v>
      </c>
      <c r="B154" t="s">
        <v>9</v>
      </c>
      <c r="C154" s="4">
        <v>45348</v>
      </c>
      <c r="D154" s="4">
        <v>45378</v>
      </c>
      <c r="E154" s="1">
        <v>31227.02</v>
      </c>
      <c r="F154" t="s">
        <v>3</v>
      </c>
      <c r="G154">
        <f t="shared" si="4"/>
        <v>30</v>
      </c>
      <c r="H154">
        <f t="shared" ca="1" si="5"/>
        <v>0</v>
      </c>
      <c r="I15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55" spans="1:9" x14ac:dyDescent="0.35">
      <c r="A155" t="s">
        <v>161</v>
      </c>
      <c r="B155" t="s">
        <v>9</v>
      </c>
      <c r="C155" s="4">
        <v>45705</v>
      </c>
      <c r="D155" s="4">
        <v>45735</v>
      </c>
      <c r="E155" s="1">
        <v>45865.15</v>
      </c>
      <c r="F155" t="s">
        <v>3</v>
      </c>
      <c r="G155">
        <f t="shared" si="4"/>
        <v>30</v>
      </c>
      <c r="H155">
        <f t="shared" ca="1" si="5"/>
        <v>0</v>
      </c>
      <c r="I15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56" spans="1:9" x14ac:dyDescent="0.35">
      <c r="A156" t="s">
        <v>162</v>
      </c>
      <c r="B156" t="s">
        <v>7</v>
      </c>
      <c r="C156" s="4">
        <v>46073</v>
      </c>
      <c r="D156" s="4">
        <v>46103</v>
      </c>
      <c r="E156" s="1">
        <v>8508.76</v>
      </c>
      <c r="F156" t="s">
        <v>3</v>
      </c>
      <c r="G156">
        <f t="shared" si="4"/>
        <v>30</v>
      </c>
      <c r="H156">
        <f t="shared" ca="1" si="5"/>
        <v>0</v>
      </c>
      <c r="I15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57" spans="1:9" x14ac:dyDescent="0.35">
      <c r="A157" t="s">
        <v>163</v>
      </c>
      <c r="B157" t="s">
        <v>2</v>
      </c>
      <c r="C157" s="4">
        <v>45425</v>
      </c>
      <c r="D157" s="4">
        <v>45455</v>
      </c>
      <c r="E157" s="1">
        <v>2185.2199999999998</v>
      </c>
      <c r="F157" t="s">
        <v>3</v>
      </c>
      <c r="G157">
        <f t="shared" si="4"/>
        <v>30</v>
      </c>
      <c r="H157">
        <f t="shared" ca="1" si="5"/>
        <v>0</v>
      </c>
      <c r="I15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58" spans="1:9" x14ac:dyDescent="0.35">
      <c r="A158" t="s">
        <v>164</v>
      </c>
      <c r="B158" t="s">
        <v>2</v>
      </c>
      <c r="C158" s="4">
        <v>45862</v>
      </c>
      <c r="D158" s="4">
        <v>45892</v>
      </c>
      <c r="E158" s="1">
        <v>1476.24</v>
      </c>
      <c r="F158" t="s">
        <v>3</v>
      </c>
      <c r="G158">
        <f t="shared" si="4"/>
        <v>30</v>
      </c>
      <c r="H158">
        <f t="shared" ca="1" si="5"/>
        <v>0</v>
      </c>
      <c r="I15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59" spans="1:9" x14ac:dyDescent="0.35">
      <c r="A159" t="s">
        <v>165</v>
      </c>
      <c r="B159" t="s">
        <v>11</v>
      </c>
      <c r="C159" s="4">
        <v>45344</v>
      </c>
      <c r="D159" s="4">
        <v>45374</v>
      </c>
      <c r="E159" s="1">
        <v>36836.949999999997</v>
      </c>
      <c r="F159" t="s">
        <v>3</v>
      </c>
      <c r="G159">
        <f t="shared" si="4"/>
        <v>30</v>
      </c>
      <c r="H159">
        <f t="shared" ca="1" si="5"/>
        <v>0</v>
      </c>
      <c r="I15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60" spans="1:9" x14ac:dyDescent="0.35">
      <c r="A160" t="s">
        <v>166</v>
      </c>
      <c r="B160" t="s">
        <v>7</v>
      </c>
      <c r="C160" s="4">
        <v>46236</v>
      </c>
      <c r="D160" s="4">
        <v>46266</v>
      </c>
      <c r="E160" s="1">
        <v>36520.93</v>
      </c>
      <c r="F160" t="s">
        <v>18</v>
      </c>
      <c r="G160">
        <f t="shared" si="4"/>
        <v>30</v>
      </c>
      <c r="H160">
        <f t="shared" ca="1" si="5"/>
        <v>22</v>
      </c>
      <c r="I160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1-30 days</v>
      </c>
    </row>
    <row r="161" spans="1:9" x14ac:dyDescent="0.35">
      <c r="A161" t="s">
        <v>167</v>
      </c>
      <c r="B161" t="s">
        <v>7</v>
      </c>
      <c r="C161" s="4">
        <v>46120</v>
      </c>
      <c r="D161" s="4">
        <v>46150</v>
      </c>
      <c r="E161" s="1">
        <v>2825.52</v>
      </c>
      <c r="F161" t="s">
        <v>18</v>
      </c>
      <c r="G161">
        <f t="shared" si="4"/>
        <v>30</v>
      </c>
      <c r="H161">
        <f t="shared" ca="1" si="5"/>
        <v>138</v>
      </c>
      <c r="I161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162" spans="1:9" x14ac:dyDescent="0.35">
      <c r="A162" t="s">
        <v>168</v>
      </c>
      <c r="B162" t="s">
        <v>5</v>
      </c>
      <c r="C162" s="4">
        <v>45232</v>
      </c>
      <c r="D162" s="4">
        <v>45262</v>
      </c>
      <c r="E162" s="1">
        <v>32428.65</v>
      </c>
      <c r="F162" t="s">
        <v>3</v>
      </c>
      <c r="G162">
        <f t="shared" si="4"/>
        <v>30</v>
      </c>
      <c r="H162">
        <f t="shared" ca="1" si="5"/>
        <v>0</v>
      </c>
      <c r="I16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63" spans="1:9" x14ac:dyDescent="0.35">
      <c r="A163" t="s">
        <v>169</v>
      </c>
      <c r="B163" t="s">
        <v>7</v>
      </c>
      <c r="C163" s="4">
        <v>46038</v>
      </c>
      <c r="D163" s="4">
        <v>46068</v>
      </c>
      <c r="E163" s="1">
        <v>9074.17</v>
      </c>
      <c r="F163" t="s">
        <v>3</v>
      </c>
      <c r="G163">
        <f t="shared" si="4"/>
        <v>30</v>
      </c>
      <c r="H163">
        <f t="shared" ca="1" si="5"/>
        <v>0</v>
      </c>
      <c r="I16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64" spans="1:9" x14ac:dyDescent="0.35">
      <c r="A164" t="s">
        <v>170</v>
      </c>
      <c r="B164" t="s">
        <v>2</v>
      </c>
      <c r="C164" s="4">
        <v>44931</v>
      </c>
      <c r="D164" s="4">
        <v>44961</v>
      </c>
      <c r="E164" s="1">
        <v>12625.86</v>
      </c>
      <c r="F164" t="s">
        <v>3</v>
      </c>
      <c r="G164">
        <f t="shared" si="4"/>
        <v>30</v>
      </c>
      <c r="H164">
        <f t="shared" ca="1" si="5"/>
        <v>0</v>
      </c>
      <c r="I16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65" spans="1:9" x14ac:dyDescent="0.35">
      <c r="A165" t="s">
        <v>171</v>
      </c>
      <c r="B165" t="s">
        <v>5</v>
      </c>
      <c r="C165" s="4">
        <v>44947</v>
      </c>
      <c r="D165" s="4">
        <v>44977</v>
      </c>
      <c r="E165" s="1">
        <v>37969.68</v>
      </c>
      <c r="F165" t="s">
        <v>3</v>
      </c>
      <c r="G165">
        <f t="shared" si="4"/>
        <v>30</v>
      </c>
      <c r="H165">
        <f t="shared" ca="1" si="5"/>
        <v>0</v>
      </c>
      <c r="I16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66" spans="1:9" x14ac:dyDescent="0.35">
      <c r="A166" t="s">
        <v>172</v>
      </c>
      <c r="B166" t="s">
        <v>5</v>
      </c>
      <c r="C166" s="4">
        <v>44986</v>
      </c>
      <c r="D166" s="4">
        <v>45016</v>
      </c>
      <c r="E166" s="1">
        <v>7913.14</v>
      </c>
      <c r="F166" t="s">
        <v>18</v>
      </c>
      <c r="G166">
        <f t="shared" si="4"/>
        <v>30</v>
      </c>
      <c r="H166">
        <f t="shared" ca="1" si="5"/>
        <v>1272</v>
      </c>
      <c r="I166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167" spans="1:9" x14ac:dyDescent="0.35">
      <c r="A167" t="s">
        <v>173</v>
      </c>
      <c r="B167" t="s">
        <v>11</v>
      </c>
      <c r="C167" s="4">
        <v>45831</v>
      </c>
      <c r="D167" s="4">
        <v>45861</v>
      </c>
      <c r="E167" s="1">
        <v>27720.01</v>
      </c>
      <c r="F167" t="s">
        <v>3</v>
      </c>
      <c r="G167">
        <f t="shared" si="4"/>
        <v>30</v>
      </c>
      <c r="H167">
        <f t="shared" ca="1" si="5"/>
        <v>0</v>
      </c>
      <c r="I16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68" spans="1:9" x14ac:dyDescent="0.35">
      <c r="A168" t="s">
        <v>174</v>
      </c>
      <c r="B168" t="s">
        <v>2</v>
      </c>
      <c r="C168" s="4">
        <v>46032</v>
      </c>
      <c r="D168" s="4">
        <v>46062</v>
      </c>
      <c r="E168" s="1">
        <v>9342.0300000000007</v>
      </c>
      <c r="F168" t="s">
        <v>3</v>
      </c>
      <c r="G168">
        <f t="shared" si="4"/>
        <v>30</v>
      </c>
      <c r="H168">
        <f t="shared" ca="1" si="5"/>
        <v>0</v>
      </c>
      <c r="I16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69" spans="1:9" x14ac:dyDescent="0.35">
      <c r="A169" t="s">
        <v>175</v>
      </c>
      <c r="B169" t="s">
        <v>5</v>
      </c>
      <c r="C169" s="4">
        <v>46045</v>
      </c>
      <c r="D169" s="4">
        <v>46075</v>
      </c>
      <c r="E169" s="1">
        <v>46326.67</v>
      </c>
      <c r="F169" t="s">
        <v>3</v>
      </c>
      <c r="G169">
        <f t="shared" si="4"/>
        <v>30</v>
      </c>
      <c r="H169">
        <f t="shared" ca="1" si="5"/>
        <v>0</v>
      </c>
      <c r="I16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70" spans="1:9" x14ac:dyDescent="0.35">
      <c r="A170" t="s">
        <v>176</v>
      </c>
      <c r="B170" t="s">
        <v>9</v>
      </c>
      <c r="C170" s="4">
        <v>45001</v>
      </c>
      <c r="D170" s="4">
        <v>45031</v>
      </c>
      <c r="E170" s="1">
        <v>30561.49</v>
      </c>
      <c r="F170" t="s">
        <v>3</v>
      </c>
      <c r="G170">
        <f t="shared" si="4"/>
        <v>30</v>
      </c>
      <c r="H170">
        <f t="shared" ca="1" si="5"/>
        <v>0</v>
      </c>
      <c r="I17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71" spans="1:9" x14ac:dyDescent="0.35">
      <c r="A171" t="s">
        <v>177</v>
      </c>
      <c r="B171" t="s">
        <v>5</v>
      </c>
      <c r="C171" s="4">
        <v>45323</v>
      </c>
      <c r="D171" s="4">
        <v>45353</v>
      </c>
      <c r="E171" s="1">
        <v>42242.75</v>
      </c>
      <c r="F171" t="s">
        <v>3</v>
      </c>
      <c r="G171">
        <f t="shared" si="4"/>
        <v>30</v>
      </c>
      <c r="H171">
        <f t="shared" ca="1" si="5"/>
        <v>0</v>
      </c>
      <c r="I17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72" spans="1:9" x14ac:dyDescent="0.35">
      <c r="A172" t="s">
        <v>178</v>
      </c>
      <c r="B172" t="s">
        <v>11</v>
      </c>
      <c r="C172" s="4">
        <v>45081</v>
      </c>
      <c r="D172" s="4">
        <v>45111</v>
      </c>
      <c r="E172" s="1">
        <v>43284.13</v>
      </c>
      <c r="F172" t="s">
        <v>3</v>
      </c>
      <c r="G172">
        <f t="shared" si="4"/>
        <v>30</v>
      </c>
      <c r="H172">
        <f t="shared" ca="1" si="5"/>
        <v>0</v>
      </c>
      <c r="I17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73" spans="1:9" x14ac:dyDescent="0.35">
      <c r="A173" t="s">
        <v>179</v>
      </c>
      <c r="B173" t="s">
        <v>11</v>
      </c>
      <c r="C173" s="4">
        <v>46003</v>
      </c>
      <c r="D173" s="4">
        <v>46033</v>
      </c>
      <c r="E173" s="1">
        <v>39391.61</v>
      </c>
      <c r="F173" t="s">
        <v>3</v>
      </c>
      <c r="G173">
        <f t="shared" si="4"/>
        <v>30</v>
      </c>
      <c r="H173">
        <f t="shared" ca="1" si="5"/>
        <v>0</v>
      </c>
      <c r="I17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74" spans="1:9" x14ac:dyDescent="0.35">
      <c r="A174" t="s">
        <v>180</v>
      </c>
      <c r="B174" t="s">
        <v>2</v>
      </c>
      <c r="C174" s="4">
        <v>45485</v>
      </c>
      <c r="D174" s="4">
        <v>45515</v>
      </c>
      <c r="E174" s="1">
        <v>30318.65</v>
      </c>
      <c r="F174" t="s">
        <v>3</v>
      </c>
      <c r="G174">
        <f t="shared" si="4"/>
        <v>30</v>
      </c>
      <c r="H174">
        <f t="shared" ca="1" si="5"/>
        <v>0</v>
      </c>
      <c r="I17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75" spans="1:9" x14ac:dyDescent="0.35">
      <c r="A175" t="s">
        <v>181</v>
      </c>
      <c r="B175" t="s">
        <v>7</v>
      </c>
      <c r="C175" s="4">
        <v>45907</v>
      </c>
      <c r="D175" s="4">
        <v>45937</v>
      </c>
      <c r="E175" s="1">
        <v>35183.35</v>
      </c>
      <c r="F175" t="s">
        <v>3</v>
      </c>
      <c r="G175">
        <f t="shared" si="4"/>
        <v>30</v>
      </c>
      <c r="H175">
        <f t="shared" ca="1" si="5"/>
        <v>0</v>
      </c>
      <c r="I17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76" spans="1:9" x14ac:dyDescent="0.35">
      <c r="A176" t="s">
        <v>182</v>
      </c>
      <c r="B176" t="s">
        <v>11</v>
      </c>
      <c r="C176" s="4">
        <v>45589</v>
      </c>
      <c r="D176" s="4">
        <v>45619</v>
      </c>
      <c r="E176" s="1">
        <v>13643.07</v>
      </c>
      <c r="F176" t="s">
        <v>3</v>
      </c>
      <c r="G176">
        <f t="shared" si="4"/>
        <v>30</v>
      </c>
      <c r="H176">
        <f t="shared" ca="1" si="5"/>
        <v>0</v>
      </c>
      <c r="I17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77" spans="1:9" x14ac:dyDescent="0.35">
      <c r="A177" t="s">
        <v>183</v>
      </c>
      <c r="B177" t="s">
        <v>2</v>
      </c>
      <c r="C177" s="4">
        <v>45093</v>
      </c>
      <c r="D177" s="4">
        <v>45123</v>
      </c>
      <c r="E177" s="1">
        <v>5545.36</v>
      </c>
      <c r="F177" t="s">
        <v>3</v>
      </c>
      <c r="G177">
        <f t="shared" si="4"/>
        <v>30</v>
      </c>
      <c r="H177">
        <f t="shared" ca="1" si="5"/>
        <v>0</v>
      </c>
      <c r="I17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78" spans="1:9" x14ac:dyDescent="0.35">
      <c r="A178" t="s">
        <v>184</v>
      </c>
      <c r="B178" t="s">
        <v>9</v>
      </c>
      <c r="C178" s="4">
        <v>45488</v>
      </c>
      <c r="D178" s="4">
        <v>45518</v>
      </c>
      <c r="E178" s="1">
        <v>13056.06</v>
      </c>
      <c r="F178" t="s">
        <v>3</v>
      </c>
      <c r="G178">
        <f t="shared" si="4"/>
        <v>30</v>
      </c>
      <c r="H178">
        <f t="shared" ca="1" si="5"/>
        <v>0</v>
      </c>
      <c r="I17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79" spans="1:9" x14ac:dyDescent="0.35">
      <c r="A179" t="s">
        <v>185</v>
      </c>
      <c r="B179" t="s">
        <v>2</v>
      </c>
      <c r="C179" s="4">
        <v>45322</v>
      </c>
      <c r="D179" s="4">
        <v>45352</v>
      </c>
      <c r="E179" s="1">
        <v>1018.29</v>
      </c>
      <c r="F179" t="s">
        <v>18</v>
      </c>
      <c r="G179">
        <f t="shared" si="4"/>
        <v>30</v>
      </c>
      <c r="H179">
        <f t="shared" ca="1" si="5"/>
        <v>936</v>
      </c>
      <c r="I179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180" spans="1:9" x14ac:dyDescent="0.35">
      <c r="A180" t="s">
        <v>186</v>
      </c>
      <c r="B180" t="s">
        <v>7</v>
      </c>
      <c r="C180" s="4">
        <v>45142</v>
      </c>
      <c r="D180" s="4">
        <v>45172</v>
      </c>
      <c r="E180" s="1">
        <v>28416.75</v>
      </c>
      <c r="F180" t="s">
        <v>18</v>
      </c>
      <c r="G180">
        <f t="shared" si="4"/>
        <v>30</v>
      </c>
      <c r="H180">
        <f t="shared" ca="1" si="5"/>
        <v>1116</v>
      </c>
      <c r="I180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181" spans="1:9" x14ac:dyDescent="0.35">
      <c r="A181" t="s">
        <v>187</v>
      </c>
      <c r="B181" t="s">
        <v>7</v>
      </c>
      <c r="C181" s="4">
        <v>45016</v>
      </c>
      <c r="D181" s="4">
        <v>45046</v>
      </c>
      <c r="E181" s="1">
        <v>40445.26</v>
      </c>
      <c r="F181" t="s">
        <v>3</v>
      </c>
      <c r="G181">
        <f t="shared" si="4"/>
        <v>30</v>
      </c>
      <c r="H181">
        <f t="shared" ca="1" si="5"/>
        <v>0</v>
      </c>
      <c r="I18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82" spans="1:9" x14ac:dyDescent="0.35">
      <c r="A182" t="s">
        <v>188</v>
      </c>
      <c r="B182" t="s">
        <v>7</v>
      </c>
      <c r="C182" s="4">
        <v>45808</v>
      </c>
      <c r="D182" s="4">
        <v>45838</v>
      </c>
      <c r="E182" s="1">
        <v>29464.35</v>
      </c>
      <c r="F182" t="s">
        <v>3</v>
      </c>
      <c r="G182">
        <f t="shared" si="4"/>
        <v>30</v>
      </c>
      <c r="H182">
        <f t="shared" ca="1" si="5"/>
        <v>0</v>
      </c>
      <c r="I18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83" spans="1:9" x14ac:dyDescent="0.35">
      <c r="A183" t="s">
        <v>189</v>
      </c>
      <c r="B183" t="s">
        <v>5</v>
      </c>
      <c r="C183" s="4">
        <v>45772</v>
      </c>
      <c r="D183" s="4">
        <v>45802</v>
      </c>
      <c r="E183" s="1">
        <v>9341.0499999999993</v>
      </c>
      <c r="F183" t="s">
        <v>3</v>
      </c>
      <c r="G183">
        <f t="shared" si="4"/>
        <v>30</v>
      </c>
      <c r="H183">
        <f t="shared" ca="1" si="5"/>
        <v>0</v>
      </c>
      <c r="I18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84" spans="1:9" x14ac:dyDescent="0.35">
      <c r="A184" t="s">
        <v>190</v>
      </c>
      <c r="B184" t="s">
        <v>11</v>
      </c>
      <c r="C184" s="4">
        <v>46128</v>
      </c>
      <c r="D184" s="4">
        <v>46158</v>
      </c>
      <c r="E184" s="1">
        <v>39129.49</v>
      </c>
      <c r="F184" t="s">
        <v>3</v>
      </c>
      <c r="G184">
        <f t="shared" si="4"/>
        <v>30</v>
      </c>
      <c r="H184">
        <f t="shared" ca="1" si="5"/>
        <v>0</v>
      </c>
      <c r="I18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85" spans="1:9" x14ac:dyDescent="0.35">
      <c r="A185" t="s">
        <v>191</v>
      </c>
      <c r="B185" t="s">
        <v>2</v>
      </c>
      <c r="C185" s="4">
        <v>45055</v>
      </c>
      <c r="D185" s="4">
        <v>45085</v>
      </c>
      <c r="E185" s="1">
        <v>16468.689999999999</v>
      </c>
      <c r="F185" t="s">
        <v>18</v>
      </c>
      <c r="G185">
        <f t="shared" si="4"/>
        <v>30</v>
      </c>
      <c r="H185">
        <f t="shared" ca="1" si="5"/>
        <v>1203</v>
      </c>
      <c r="I185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186" spans="1:9" x14ac:dyDescent="0.35">
      <c r="A186" t="s">
        <v>192</v>
      </c>
      <c r="B186" t="s">
        <v>11</v>
      </c>
      <c r="C186" s="4">
        <v>45924</v>
      </c>
      <c r="D186" s="4">
        <v>45954</v>
      </c>
      <c r="E186" s="1">
        <v>4546.5200000000004</v>
      </c>
      <c r="F186" t="s">
        <v>18</v>
      </c>
      <c r="G186">
        <f t="shared" si="4"/>
        <v>30</v>
      </c>
      <c r="H186">
        <f t="shared" ca="1" si="5"/>
        <v>334</v>
      </c>
      <c r="I186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187" spans="1:9" x14ac:dyDescent="0.35">
      <c r="A187" t="s">
        <v>193</v>
      </c>
      <c r="B187" t="s">
        <v>7</v>
      </c>
      <c r="C187" s="4">
        <v>45608</v>
      </c>
      <c r="D187" s="4">
        <v>45638</v>
      </c>
      <c r="E187" s="1">
        <v>25044.16</v>
      </c>
      <c r="F187" t="s">
        <v>3</v>
      </c>
      <c r="G187">
        <f t="shared" si="4"/>
        <v>30</v>
      </c>
      <c r="H187">
        <f t="shared" ca="1" si="5"/>
        <v>0</v>
      </c>
      <c r="I18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88" spans="1:9" x14ac:dyDescent="0.35">
      <c r="A188" t="s">
        <v>194</v>
      </c>
      <c r="B188" t="s">
        <v>11</v>
      </c>
      <c r="C188" s="4">
        <v>45892</v>
      </c>
      <c r="D188" s="4">
        <v>45922</v>
      </c>
      <c r="E188" s="1">
        <v>14900.95</v>
      </c>
      <c r="F188" t="s">
        <v>3</v>
      </c>
      <c r="G188">
        <f t="shared" si="4"/>
        <v>30</v>
      </c>
      <c r="H188">
        <f t="shared" ca="1" si="5"/>
        <v>0</v>
      </c>
      <c r="I18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89" spans="1:9" x14ac:dyDescent="0.35">
      <c r="A189" t="s">
        <v>195</v>
      </c>
      <c r="B189" t="s">
        <v>7</v>
      </c>
      <c r="C189" s="4">
        <v>44973</v>
      </c>
      <c r="D189" s="4">
        <v>45003</v>
      </c>
      <c r="E189" s="1">
        <v>11520.43</v>
      </c>
      <c r="F189" t="s">
        <v>3</v>
      </c>
      <c r="G189">
        <f t="shared" si="4"/>
        <v>30</v>
      </c>
      <c r="H189">
        <f t="shared" ca="1" si="5"/>
        <v>0</v>
      </c>
      <c r="I18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90" spans="1:9" x14ac:dyDescent="0.35">
      <c r="A190" t="s">
        <v>196</v>
      </c>
      <c r="B190" t="s">
        <v>2</v>
      </c>
      <c r="C190" s="4">
        <v>45437</v>
      </c>
      <c r="D190" s="4">
        <v>45467</v>
      </c>
      <c r="E190" s="1">
        <v>4103.5600000000004</v>
      </c>
      <c r="F190" t="s">
        <v>3</v>
      </c>
      <c r="G190">
        <f t="shared" si="4"/>
        <v>30</v>
      </c>
      <c r="H190">
        <f t="shared" ca="1" si="5"/>
        <v>0</v>
      </c>
      <c r="I19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91" spans="1:9" x14ac:dyDescent="0.35">
      <c r="A191" t="s">
        <v>197</v>
      </c>
      <c r="B191" t="s">
        <v>5</v>
      </c>
      <c r="C191" s="4">
        <v>45036</v>
      </c>
      <c r="D191" s="4">
        <v>45066</v>
      </c>
      <c r="E191" s="1">
        <v>34098.47</v>
      </c>
      <c r="F191" t="s">
        <v>3</v>
      </c>
      <c r="G191">
        <f t="shared" si="4"/>
        <v>30</v>
      </c>
      <c r="H191">
        <f t="shared" ca="1" si="5"/>
        <v>0</v>
      </c>
      <c r="I19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92" spans="1:9" x14ac:dyDescent="0.35">
      <c r="A192" t="s">
        <v>198</v>
      </c>
      <c r="B192" t="s">
        <v>11</v>
      </c>
      <c r="C192" s="4">
        <v>45772</v>
      </c>
      <c r="D192" s="4">
        <v>45802</v>
      </c>
      <c r="E192" s="1">
        <v>17404.919999999998</v>
      </c>
      <c r="F192" t="s">
        <v>3</v>
      </c>
      <c r="G192">
        <f t="shared" si="4"/>
        <v>30</v>
      </c>
      <c r="H192">
        <f t="shared" ca="1" si="5"/>
        <v>0</v>
      </c>
      <c r="I19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93" spans="1:9" x14ac:dyDescent="0.35">
      <c r="A193" t="s">
        <v>199</v>
      </c>
      <c r="B193" t="s">
        <v>2</v>
      </c>
      <c r="C193" s="4">
        <v>45052</v>
      </c>
      <c r="D193" s="4">
        <v>45082</v>
      </c>
      <c r="E193" s="1">
        <v>41821.040000000001</v>
      </c>
      <c r="F193" t="s">
        <v>18</v>
      </c>
      <c r="G193">
        <f t="shared" si="4"/>
        <v>30</v>
      </c>
      <c r="H193">
        <f t="shared" ca="1" si="5"/>
        <v>1206</v>
      </c>
      <c r="I193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194" spans="1:9" x14ac:dyDescent="0.35">
      <c r="A194" t="s">
        <v>200</v>
      </c>
      <c r="B194" t="s">
        <v>2</v>
      </c>
      <c r="C194" s="4">
        <v>45814</v>
      </c>
      <c r="D194" s="4">
        <v>45844</v>
      </c>
      <c r="E194" s="1">
        <v>25676.26</v>
      </c>
      <c r="F194" t="s">
        <v>18</v>
      </c>
      <c r="G194">
        <f t="shared" ref="G194:G257" si="6">D194-C194</f>
        <v>30</v>
      </c>
      <c r="H194">
        <f t="shared" ref="H194:H257" ca="1" si="7">IF(F194="Unpaid", TODAY() - D194, 0)</f>
        <v>444</v>
      </c>
      <c r="I194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195" spans="1:9" x14ac:dyDescent="0.35">
      <c r="A195" t="s">
        <v>201</v>
      </c>
      <c r="B195" t="s">
        <v>2</v>
      </c>
      <c r="C195" s="4">
        <v>45330</v>
      </c>
      <c r="D195" s="4">
        <v>45360</v>
      </c>
      <c r="E195" s="1">
        <v>25853.73</v>
      </c>
      <c r="F195" t="s">
        <v>18</v>
      </c>
      <c r="G195">
        <f t="shared" si="6"/>
        <v>30</v>
      </c>
      <c r="H195">
        <f t="shared" ca="1" si="7"/>
        <v>928</v>
      </c>
      <c r="I195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196" spans="1:9" x14ac:dyDescent="0.35">
      <c r="A196" t="s">
        <v>202</v>
      </c>
      <c r="B196" t="s">
        <v>11</v>
      </c>
      <c r="C196" s="4">
        <v>45191</v>
      </c>
      <c r="D196" s="4">
        <v>45221</v>
      </c>
      <c r="E196" s="1">
        <v>44682.69</v>
      </c>
      <c r="F196" t="s">
        <v>18</v>
      </c>
      <c r="G196">
        <f t="shared" si="6"/>
        <v>30</v>
      </c>
      <c r="H196">
        <f t="shared" ca="1" si="7"/>
        <v>1067</v>
      </c>
      <c r="I196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197" spans="1:9" x14ac:dyDescent="0.35">
      <c r="A197" t="s">
        <v>203</v>
      </c>
      <c r="B197" t="s">
        <v>11</v>
      </c>
      <c r="C197" s="4">
        <v>46132</v>
      </c>
      <c r="D197" s="4">
        <v>46162</v>
      </c>
      <c r="E197" s="1">
        <v>4569.01</v>
      </c>
      <c r="F197" t="s">
        <v>18</v>
      </c>
      <c r="G197">
        <f t="shared" si="6"/>
        <v>30</v>
      </c>
      <c r="H197">
        <f t="shared" ca="1" si="7"/>
        <v>126</v>
      </c>
      <c r="I197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198" spans="1:9" x14ac:dyDescent="0.35">
      <c r="A198" t="s">
        <v>204</v>
      </c>
      <c r="B198" t="s">
        <v>11</v>
      </c>
      <c r="C198" s="4">
        <v>45652</v>
      </c>
      <c r="D198" s="4">
        <v>45682</v>
      </c>
      <c r="E198" s="1">
        <v>29622.17</v>
      </c>
      <c r="F198" t="s">
        <v>3</v>
      </c>
      <c r="G198">
        <f t="shared" si="6"/>
        <v>30</v>
      </c>
      <c r="H198">
        <f t="shared" ca="1" si="7"/>
        <v>0</v>
      </c>
      <c r="I19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199" spans="1:9" x14ac:dyDescent="0.35">
      <c r="A199" t="s">
        <v>205</v>
      </c>
      <c r="B199" t="s">
        <v>7</v>
      </c>
      <c r="C199" s="4">
        <v>45994</v>
      </c>
      <c r="D199" s="4">
        <v>46024</v>
      </c>
      <c r="E199" s="1">
        <v>19922.330000000002</v>
      </c>
      <c r="F199" t="s">
        <v>3</v>
      </c>
      <c r="G199">
        <f t="shared" si="6"/>
        <v>30</v>
      </c>
      <c r="H199">
        <f t="shared" ca="1" si="7"/>
        <v>0</v>
      </c>
      <c r="I19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00" spans="1:9" x14ac:dyDescent="0.35">
      <c r="A200" t="s">
        <v>206</v>
      </c>
      <c r="B200" t="s">
        <v>9</v>
      </c>
      <c r="C200" s="4">
        <v>45388</v>
      </c>
      <c r="D200" s="4">
        <v>45418</v>
      </c>
      <c r="E200" s="1">
        <v>41728.74</v>
      </c>
      <c r="F200" t="s">
        <v>3</v>
      </c>
      <c r="G200">
        <f t="shared" si="6"/>
        <v>30</v>
      </c>
      <c r="H200">
        <f t="shared" ca="1" si="7"/>
        <v>0</v>
      </c>
      <c r="I20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01" spans="1:9" x14ac:dyDescent="0.35">
      <c r="A201" t="s">
        <v>207</v>
      </c>
      <c r="B201" t="s">
        <v>11</v>
      </c>
      <c r="C201" s="4">
        <v>45034</v>
      </c>
      <c r="D201" s="4">
        <v>45064</v>
      </c>
      <c r="E201" s="1">
        <v>23110.94</v>
      </c>
      <c r="F201" t="s">
        <v>18</v>
      </c>
      <c r="G201">
        <f t="shared" si="6"/>
        <v>30</v>
      </c>
      <c r="H201">
        <f t="shared" ca="1" si="7"/>
        <v>1224</v>
      </c>
      <c r="I201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02" spans="1:9" x14ac:dyDescent="0.35">
      <c r="A202" t="s">
        <v>208</v>
      </c>
      <c r="B202" t="s">
        <v>7</v>
      </c>
      <c r="C202" s="4">
        <v>46179</v>
      </c>
      <c r="D202" s="4">
        <v>46209</v>
      </c>
      <c r="E202" s="1">
        <v>32287.119999999999</v>
      </c>
      <c r="F202" t="s">
        <v>3</v>
      </c>
      <c r="G202">
        <f t="shared" si="6"/>
        <v>30</v>
      </c>
      <c r="H202">
        <f t="shared" ca="1" si="7"/>
        <v>0</v>
      </c>
      <c r="I20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03" spans="1:9" x14ac:dyDescent="0.35">
      <c r="A203" t="s">
        <v>209</v>
      </c>
      <c r="B203" t="s">
        <v>11</v>
      </c>
      <c r="C203" s="4">
        <v>45486</v>
      </c>
      <c r="D203" s="4">
        <v>45516</v>
      </c>
      <c r="E203" s="1">
        <v>6324.6</v>
      </c>
      <c r="F203" t="s">
        <v>18</v>
      </c>
      <c r="G203">
        <f t="shared" si="6"/>
        <v>30</v>
      </c>
      <c r="H203">
        <f t="shared" ca="1" si="7"/>
        <v>772</v>
      </c>
      <c r="I203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04" spans="1:9" x14ac:dyDescent="0.35">
      <c r="A204" t="s">
        <v>210</v>
      </c>
      <c r="B204" t="s">
        <v>9</v>
      </c>
      <c r="C204" s="4">
        <v>45712</v>
      </c>
      <c r="D204" s="4">
        <v>45742</v>
      </c>
      <c r="E204" s="1">
        <v>12868.95</v>
      </c>
      <c r="F204" t="s">
        <v>3</v>
      </c>
      <c r="G204">
        <f t="shared" si="6"/>
        <v>30</v>
      </c>
      <c r="H204">
        <f t="shared" ca="1" si="7"/>
        <v>0</v>
      </c>
      <c r="I20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05" spans="1:9" x14ac:dyDescent="0.35">
      <c r="A205" t="s">
        <v>211</v>
      </c>
      <c r="B205" t="s">
        <v>2</v>
      </c>
      <c r="C205" s="4">
        <v>46206</v>
      </c>
      <c r="D205" s="4">
        <v>46236</v>
      </c>
      <c r="E205" s="1">
        <v>14590.43</v>
      </c>
      <c r="F205" t="s">
        <v>3</v>
      </c>
      <c r="G205">
        <f t="shared" si="6"/>
        <v>30</v>
      </c>
      <c r="H205">
        <f t="shared" ca="1" si="7"/>
        <v>0</v>
      </c>
      <c r="I20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06" spans="1:9" x14ac:dyDescent="0.35">
      <c r="A206" t="s">
        <v>212</v>
      </c>
      <c r="B206" t="s">
        <v>7</v>
      </c>
      <c r="C206" s="4">
        <v>45382</v>
      </c>
      <c r="D206" s="4">
        <v>45412</v>
      </c>
      <c r="E206" s="1">
        <v>38092.75</v>
      </c>
      <c r="F206" t="s">
        <v>18</v>
      </c>
      <c r="G206">
        <f t="shared" si="6"/>
        <v>30</v>
      </c>
      <c r="H206">
        <f t="shared" ca="1" si="7"/>
        <v>876</v>
      </c>
      <c r="I206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07" spans="1:9" x14ac:dyDescent="0.35">
      <c r="A207" t="s">
        <v>213</v>
      </c>
      <c r="B207" t="s">
        <v>7</v>
      </c>
      <c r="C207" s="4">
        <v>45956</v>
      </c>
      <c r="D207" s="4">
        <v>45986</v>
      </c>
      <c r="E207" s="1">
        <v>35012.980000000003</v>
      </c>
      <c r="F207" t="s">
        <v>3</v>
      </c>
      <c r="G207">
        <f t="shared" si="6"/>
        <v>30</v>
      </c>
      <c r="H207">
        <f t="shared" ca="1" si="7"/>
        <v>0</v>
      </c>
      <c r="I20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08" spans="1:9" x14ac:dyDescent="0.35">
      <c r="A208" t="s">
        <v>214</v>
      </c>
      <c r="B208" t="s">
        <v>9</v>
      </c>
      <c r="C208" s="4">
        <v>45288</v>
      </c>
      <c r="D208" s="4">
        <v>45318</v>
      </c>
      <c r="E208" s="1">
        <v>36173.050000000003</v>
      </c>
      <c r="F208" t="s">
        <v>3</v>
      </c>
      <c r="G208">
        <f t="shared" si="6"/>
        <v>30</v>
      </c>
      <c r="H208">
        <f t="shared" ca="1" si="7"/>
        <v>0</v>
      </c>
      <c r="I20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09" spans="1:9" x14ac:dyDescent="0.35">
      <c r="A209" t="s">
        <v>215</v>
      </c>
      <c r="B209" t="s">
        <v>7</v>
      </c>
      <c r="C209" s="4">
        <v>45744</v>
      </c>
      <c r="D209" s="4">
        <v>45774</v>
      </c>
      <c r="E209" s="1">
        <v>3288.8</v>
      </c>
      <c r="F209" t="s">
        <v>3</v>
      </c>
      <c r="G209">
        <f t="shared" si="6"/>
        <v>30</v>
      </c>
      <c r="H209">
        <f t="shared" ca="1" si="7"/>
        <v>0</v>
      </c>
      <c r="I20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10" spans="1:9" x14ac:dyDescent="0.35">
      <c r="A210" t="s">
        <v>216</v>
      </c>
      <c r="B210" t="s">
        <v>11</v>
      </c>
      <c r="C210" s="4">
        <v>46119</v>
      </c>
      <c r="D210" s="4">
        <v>46149</v>
      </c>
      <c r="E210" s="1">
        <v>38922.879999999997</v>
      </c>
      <c r="F210" t="s">
        <v>3</v>
      </c>
      <c r="G210">
        <f t="shared" si="6"/>
        <v>30</v>
      </c>
      <c r="H210">
        <f t="shared" ca="1" si="7"/>
        <v>0</v>
      </c>
      <c r="I21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11" spans="1:9" x14ac:dyDescent="0.35">
      <c r="A211" t="s">
        <v>217</v>
      </c>
      <c r="B211" t="s">
        <v>5</v>
      </c>
      <c r="C211" s="4">
        <v>45272</v>
      </c>
      <c r="D211" s="4">
        <v>45302</v>
      </c>
      <c r="E211" s="1">
        <v>18271.11</v>
      </c>
      <c r="F211" t="s">
        <v>3</v>
      </c>
      <c r="G211">
        <f t="shared" si="6"/>
        <v>30</v>
      </c>
      <c r="H211">
        <f t="shared" ca="1" si="7"/>
        <v>0</v>
      </c>
      <c r="I21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12" spans="1:9" x14ac:dyDescent="0.35">
      <c r="A212" t="s">
        <v>218</v>
      </c>
      <c r="B212" t="s">
        <v>5</v>
      </c>
      <c r="C212" s="4">
        <v>45868</v>
      </c>
      <c r="D212" s="4">
        <v>45898</v>
      </c>
      <c r="E212" s="1">
        <v>17561.02</v>
      </c>
      <c r="F212" t="s">
        <v>3</v>
      </c>
      <c r="G212">
        <f t="shared" si="6"/>
        <v>30</v>
      </c>
      <c r="H212">
        <f t="shared" ca="1" si="7"/>
        <v>0</v>
      </c>
      <c r="I21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13" spans="1:9" x14ac:dyDescent="0.35">
      <c r="A213" t="s">
        <v>219</v>
      </c>
      <c r="B213" t="s">
        <v>9</v>
      </c>
      <c r="C213" s="4">
        <v>45391</v>
      </c>
      <c r="D213" s="4">
        <v>45421</v>
      </c>
      <c r="E213" s="1">
        <v>30662.51</v>
      </c>
      <c r="F213" t="s">
        <v>18</v>
      </c>
      <c r="G213">
        <f t="shared" si="6"/>
        <v>30</v>
      </c>
      <c r="H213">
        <f t="shared" ca="1" si="7"/>
        <v>867</v>
      </c>
      <c r="I213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14" spans="1:9" x14ac:dyDescent="0.35">
      <c r="A214" t="s">
        <v>220</v>
      </c>
      <c r="B214" t="s">
        <v>7</v>
      </c>
      <c r="C214" s="4">
        <v>45266</v>
      </c>
      <c r="D214" s="4">
        <v>45296</v>
      </c>
      <c r="E214" s="1">
        <v>48142.36</v>
      </c>
      <c r="F214" t="s">
        <v>18</v>
      </c>
      <c r="G214">
        <f t="shared" si="6"/>
        <v>30</v>
      </c>
      <c r="H214">
        <f t="shared" ca="1" si="7"/>
        <v>992</v>
      </c>
      <c r="I214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15" spans="1:9" x14ac:dyDescent="0.35">
      <c r="A215" t="s">
        <v>221</v>
      </c>
      <c r="B215" t="s">
        <v>2</v>
      </c>
      <c r="C215" s="4">
        <v>45711</v>
      </c>
      <c r="D215" s="4">
        <v>45741</v>
      </c>
      <c r="E215" s="1">
        <v>24007.74</v>
      </c>
      <c r="F215" t="s">
        <v>18</v>
      </c>
      <c r="G215">
        <f t="shared" si="6"/>
        <v>30</v>
      </c>
      <c r="H215">
        <f t="shared" ca="1" si="7"/>
        <v>547</v>
      </c>
      <c r="I215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16" spans="1:9" x14ac:dyDescent="0.35">
      <c r="A216" t="s">
        <v>222</v>
      </c>
      <c r="B216" t="s">
        <v>2</v>
      </c>
      <c r="C216" s="4">
        <v>45890</v>
      </c>
      <c r="D216" s="4">
        <v>45920</v>
      </c>
      <c r="E216" s="1">
        <v>35451.56</v>
      </c>
      <c r="F216" t="s">
        <v>3</v>
      </c>
      <c r="G216">
        <f t="shared" si="6"/>
        <v>30</v>
      </c>
      <c r="H216">
        <f t="shared" ca="1" si="7"/>
        <v>0</v>
      </c>
      <c r="I21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17" spans="1:9" x14ac:dyDescent="0.35">
      <c r="A217" t="s">
        <v>223</v>
      </c>
      <c r="B217" t="s">
        <v>9</v>
      </c>
      <c r="C217" s="4">
        <v>45796</v>
      </c>
      <c r="D217" s="4">
        <v>45826</v>
      </c>
      <c r="E217" s="1">
        <v>29918.85</v>
      </c>
      <c r="F217" t="s">
        <v>3</v>
      </c>
      <c r="G217">
        <f t="shared" si="6"/>
        <v>30</v>
      </c>
      <c r="H217">
        <f t="shared" ca="1" si="7"/>
        <v>0</v>
      </c>
      <c r="I21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18" spans="1:9" x14ac:dyDescent="0.35">
      <c r="A218" t="s">
        <v>224</v>
      </c>
      <c r="B218" t="s">
        <v>9</v>
      </c>
      <c r="C218" s="4">
        <v>45805</v>
      </c>
      <c r="D218" s="4">
        <v>45835</v>
      </c>
      <c r="E218" s="1">
        <v>36671.93</v>
      </c>
      <c r="F218" t="s">
        <v>3</v>
      </c>
      <c r="G218">
        <f t="shared" si="6"/>
        <v>30</v>
      </c>
      <c r="H218">
        <f t="shared" ca="1" si="7"/>
        <v>0</v>
      </c>
      <c r="I21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19" spans="1:9" x14ac:dyDescent="0.35">
      <c r="A219" t="s">
        <v>225</v>
      </c>
      <c r="B219" t="s">
        <v>2</v>
      </c>
      <c r="C219" s="4">
        <v>45919</v>
      </c>
      <c r="D219" s="4">
        <v>45949</v>
      </c>
      <c r="E219" s="1">
        <v>36749.24</v>
      </c>
      <c r="F219" t="s">
        <v>3</v>
      </c>
      <c r="G219">
        <f t="shared" si="6"/>
        <v>30</v>
      </c>
      <c r="H219">
        <f t="shared" ca="1" si="7"/>
        <v>0</v>
      </c>
      <c r="I21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20" spans="1:9" x14ac:dyDescent="0.35">
      <c r="A220" t="s">
        <v>226</v>
      </c>
      <c r="B220" t="s">
        <v>5</v>
      </c>
      <c r="C220" s="4">
        <v>45206</v>
      </c>
      <c r="D220" s="4">
        <v>45236</v>
      </c>
      <c r="E220" s="1">
        <v>44667.7</v>
      </c>
      <c r="F220" t="s">
        <v>18</v>
      </c>
      <c r="G220">
        <f t="shared" si="6"/>
        <v>30</v>
      </c>
      <c r="H220">
        <f t="shared" ca="1" si="7"/>
        <v>1052</v>
      </c>
      <c r="I220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21" spans="1:9" x14ac:dyDescent="0.35">
      <c r="A221" t="s">
        <v>227</v>
      </c>
      <c r="B221" t="s">
        <v>2</v>
      </c>
      <c r="C221" s="4">
        <v>45159</v>
      </c>
      <c r="D221" s="4">
        <v>45189</v>
      </c>
      <c r="E221" s="1">
        <v>42783.5</v>
      </c>
      <c r="F221" t="s">
        <v>18</v>
      </c>
      <c r="G221">
        <f t="shared" si="6"/>
        <v>30</v>
      </c>
      <c r="H221">
        <f t="shared" ca="1" si="7"/>
        <v>1099</v>
      </c>
      <c r="I221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22" spans="1:9" x14ac:dyDescent="0.35">
      <c r="A222" t="s">
        <v>228</v>
      </c>
      <c r="B222" t="s">
        <v>2</v>
      </c>
      <c r="C222" s="4">
        <v>45487</v>
      </c>
      <c r="D222" s="4">
        <v>45517</v>
      </c>
      <c r="E222" s="1">
        <v>42458.36</v>
      </c>
      <c r="F222" t="s">
        <v>3</v>
      </c>
      <c r="G222">
        <f t="shared" si="6"/>
        <v>30</v>
      </c>
      <c r="H222">
        <f t="shared" ca="1" si="7"/>
        <v>0</v>
      </c>
      <c r="I22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23" spans="1:9" x14ac:dyDescent="0.35">
      <c r="A223" t="s">
        <v>229</v>
      </c>
      <c r="B223" t="s">
        <v>2</v>
      </c>
      <c r="C223" s="4">
        <v>45640</v>
      </c>
      <c r="D223" s="4">
        <v>45670</v>
      </c>
      <c r="E223" s="1">
        <v>43441.13</v>
      </c>
      <c r="F223" t="s">
        <v>18</v>
      </c>
      <c r="G223">
        <f t="shared" si="6"/>
        <v>30</v>
      </c>
      <c r="H223">
        <f t="shared" ca="1" si="7"/>
        <v>618</v>
      </c>
      <c r="I223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24" spans="1:9" x14ac:dyDescent="0.35">
      <c r="A224" t="s">
        <v>230</v>
      </c>
      <c r="B224" t="s">
        <v>2</v>
      </c>
      <c r="C224" s="4">
        <v>45577</v>
      </c>
      <c r="D224" s="4">
        <v>45607</v>
      </c>
      <c r="E224" s="1">
        <v>31590.18</v>
      </c>
      <c r="F224" t="s">
        <v>3</v>
      </c>
      <c r="G224">
        <f t="shared" si="6"/>
        <v>30</v>
      </c>
      <c r="H224">
        <f t="shared" ca="1" si="7"/>
        <v>0</v>
      </c>
      <c r="I22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25" spans="1:9" x14ac:dyDescent="0.35">
      <c r="A225" t="s">
        <v>231</v>
      </c>
      <c r="B225" t="s">
        <v>7</v>
      </c>
      <c r="C225" s="4">
        <v>45357</v>
      </c>
      <c r="D225" s="4">
        <v>45387</v>
      </c>
      <c r="E225" s="1">
        <v>9688.4</v>
      </c>
      <c r="F225" t="s">
        <v>3</v>
      </c>
      <c r="G225">
        <f t="shared" si="6"/>
        <v>30</v>
      </c>
      <c r="H225">
        <f t="shared" ca="1" si="7"/>
        <v>0</v>
      </c>
      <c r="I22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26" spans="1:9" x14ac:dyDescent="0.35">
      <c r="A226" t="s">
        <v>232</v>
      </c>
      <c r="B226" t="s">
        <v>5</v>
      </c>
      <c r="C226" s="4">
        <v>45498</v>
      </c>
      <c r="D226" s="4">
        <v>45528</v>
      </c>
      <c r="E226" s="1">
        <v>46068.31</v>
      </c>
      <c r="F226" t="s">
        <v>3</v>
      </c>
      <c r="G226">
        <f t="shared" si="6"/>
        <v>30</v>
      </c>
      <c r="H226">
        <f t="shared" ca="1" si="7"/>
        <v>0</v>
      </c>
      <c r="I22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27" spans="1:9" x14ac:dyDescent="0.35">
      <c r="A227" t="s">
        <v>233</v>
      </c>
      <c r="B227" t="s">
        <v>5</v>
      </c>
      <c r="C227" s="4">
        <v>45589</v>
      </c>
      <c r="D227" s="4">
        <v>45619</v>
      </c>
      <c r="E227" s="1">
        <v>25659.39</v>
      </c>
      <c r="F227" t="s">
        <v>18</v>
      </c>
      <c r="G227">
        <f t="shared" si="6"/>
        <v>30</v>
      </c>
      <c r="H227">
        <f t="shared" ca="1" si="7"/>
        <v>669</v>
      </c>
      <c r="I227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28" spans="1:9" x14ac:dyDescent="0.35">
      <c r="A228" t="s">
        <v>234</v>
      </c>
      <c r="B228" t="s">
        <v>2</v>
      </c>
      <c r="C228" s="4">
        <v>44951</v>
      </c>
      <c r="D228" s="4">
        <v>44981</v>
      </c>
      <c r="E228" s="1">
        <v>9714.86</v>
      </c>
      <c r="F228" t="s">
        <v>3</v>
      </c>
      <c r="G228">
        <f t="shared" si="6"/>
        <v>30</v>
      </c>
      <c r="H228">
        <f t="shared" ca="1" si="7"/>
        <v>0</v>
      </c>
      <c r="I22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29" spans="1:9" x14ac:dyDescent="0.35">
      <c r="A229" t="s">
        <v>235</v>
      </c>
      <c r="B229" t="s">
        <v>5</v>
      </c>
      <c r="C229" s="4">
        <v>45173</v>
      </c>
      <c r="D229" s="4">
        <v>45203</v>
      </c>
      <c r="E229" s="1">
        <v>16279.04</v>
      </c>
      <c r="F229" t="s">
        <v>18</v>
      </c>
      <c r="G229">
        <f t="shared" si="6"/>
        <v>30</v>
      </c>
      <c r="H229">
        <f t="shared" ca="1" si="7"/>
        <v>1085</v>
      </c>
      <c r="I229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30" spans="1:9" x14ac:dyDescent="0.35">
      <c r="A230" t="s">
        <v>236</v>
      </c>
      <c r="B230" t="s">
        <v>9</v>
      </c>
      <c r="C230" s="4">
        <v>45776</v>
      </c>
      <c r="D230" s="4">
        <v>45806</v>
      </c>
      <c r="E230" s="1">
        <v>23348.05</v>
      </c>
      <c r="F230" t="s">
        <v>3</v>
      </c>
      <c r="G230">
        <f t="shared" si="6"/>
        <v>30</v>
      </c>
      <c r="H230">
        <f t="shared" ca="1" si="7"/>
        <v>0</v>
      </c>
      <c r="I23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31" spans="1:9" x14ac:dyDescent="0.35">
      <c r="A231" t="s">
        <v>237</v>
      </c>
      <c r="B231" t="s">
        <v>11</v>
      </c>
      <c r="C231" s="4">
        <v>45627</v>
      </c>
      <c r="D231" s="4">
        <v>45657</v>
      </c>
      <c r="E231" s="1">
        <v>28755.279999999999</v>
      </c>
      <c r="F231" t="s">
        <v>18</v>
      </c>
      <c r="G231">
        <f t="shared" si="6"/>
        <v>30</v>
      </c>
      <c r="H231">
        <f t="shared" ca="1" si="7"/>
        <v>631</v>
      </c>
      <c r="I231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32" spans="1:9" x14ac:dyDescent="0.35">
      <c r="A232" t="s">
        <v>238</v>
      </c>
      <c r="B232" t="s">
        <v>5</v>
      </c>
      <c r="C232" s="4">
        <v>45778</v>
      </c>
      <c r="D232" s="4">
        <v>45808</v>
      </c>
      <c r="E232" s="1">
        <v>33428.42</v>
      </c>
      <c r="F232" t="s">
        <v>3</v>
      </c>
      <c r="G232">
        <f t="shared" si="6"/>
        <v>30</v>
      </c>
      <c r="H232">
        <f t="shared" ca="1" si="7"/>
        <v>0</v>
      </c>
      <c r="I23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33" spans="1:9" x14ac:dyDescent="0.35">
      <c r="A233" t="s">
        <v>239</v>
      </c>
      <c r="B233" t="s">
        <v>2</v>
      </c>
      <c r="C233" s="4">
        <v>46006</v>
      </c>
      <c r="D233" s="4">
        <v>46036</v>
      </c>
      <c r="E233" s="1">
        <v>23377.11</v>
      </c>
      <c r="F233" t="s">
        <v>3</v>
      </c>
      <c r="G233">
        <f t="shared" si="6"/>
        <v>30</v>
      </c>
      <c r="H233">
        <f t="shared" ca="1" si="7"/>
        <v>0</v>
      </c>
      <c r="I23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34" spans="1:9" x14ac:dyDescent="0.35">
      <c r="A234" t="s">
        <v>240</v>
      </c>
      <c r="B234" t="s">
        <v>7</v>
      </c>
      <c r="C234" s="4">
        <v>46078</v>
      </c>
      <c r="D234" s="4">
        <v>46108</v>
      </c>
      <c r="E234" s="1">
        <v>33529.72</v>
      </c>
      <c r="F234" t="s">
        <v>3</v>
      </c>
      <c r="G234">
        <f t="shared" si="6"/>
        <v>30</v>
      </c>
      <c r="H234">
        <f t="shared" ca="1" si="7"/>
        <v>0</v>
      </c>
      <c r="I23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35" spans="1:9" x14ac:dyDescent="0.35">
      <c r="A235" t="s">
        <v>241</v>
      </c>
      <c r="B235" t="s">
        <v>7</v>
      </c>
      <c r="C235" s="4">
        <v>44997</v>
      </c>
      <c r="D235" s="4">
        <v>45027</v>
      </c>
      <c r="E235" s="1">
        <v>48378.9</v>
      </c>
      <c r="F235" t="s">
        <v>3</v>
      </c>
      <c r="G235">
        <f t="shared" si="6"/>
        <v>30</v>
      </c>
      <c r="H235">
        <f t="shared" ca="1" si="7"/>
        <v>0</v>
      </c>
      <c r="I23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36" spans="1:9" x14ac:dyDescent="0.35">
      <c r="A236" t="s">
        <v>242</v>
      </c>
      <c r="B236" t="s">
        <v>7</v>
      </c>
      <c r="C236" s="4">
        <v>45193</v>
      </c>
      <c r="D236" s="4">
        <v>45223</v>
      </c>
      <c r="E236" s="1">
        <v>42813.79</v>
      </c>
      <c r="F236" t="s">
        <v>18</v>
      </c>
      <c r="G236">
        <f t="shared" si="6"/>
        <v>30</v>
      </c>
      <c r="H236">
        <f t="shared" ca="1" si="7"/>
        <v>1065</v>
      </c>
      <c r="I236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37" spans="1:9" x14ac:dyDescent="0.35">
      <c r="A237" t="s">
        <v>243</v>
      </c>
      <c r="B237" t="s">
        <v>7</v>
      </c>
      <c r="C237" s="4">
        <v>45097</v>
      </c>
      <c r="D237" s="4">
        <v>45127</v>
      </c>
      <c r="E237" s="1">
        <v>36903.18</v>
      </c>
      <c r="F237" t="s">
        <v>18</v>
      </c>
      <c r="G237">
        <f t="shared" si="6"/>
        <v>30</v>
      </c>
      <c r="H237">
        <f t="shared" ca="1" si="7"/>
        <v>1161</v>
      </c>
      <c r="I237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38" spans="1:9" x14ac:dyDescent="0.35">
      <c r="A238" t="s">
        <v>244</v>
      </c>
      <c r="B238" t="s">
        <v>2</v>
      </c>
      <c r="C238" s="4">
        <v>46221</v>
      </c>
      <c r="D238" s="4">
        <v>46251</v>
      </c>
      <c r="E238" s="1">
        <v>28506.42</v>
      </c>
      <c r="F238" t="s">
        <v>18</v>
      </c>
      <c r="G238">
        <f t="shared" si="6"/>
        <v>30</v>
      </c>
      <c r="H238">
        <f t="shared" ca="1" si="7"/>
        <v>37</v>
      </c>
      <c r="I238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31-60 days</v>
      </c>
    </row>
    <row r="239" spans="1:9" x14ac:dyDescent="0.35">
      <c r="A239" t="s">
        <v>245</v>
      </c>
      <c r="B239" t="s">
        <v>9</v>
      </c>
      <c r="C239" s="4">
        <v>45685</v>
      </c>
      <c r="D239" s="4">
        <v>45715</v>
      </c>
      <c r="E239" s="1">
        <v>29505.07</v>
      </c>
      <c r="F239" t="s">
        <v>18</v>
      </c>
      <c r="G239">
        <f t="shared" si="6"/>
        <v>30</v>
      </c>
      <c r="H239">
        <f t="shared" ca="1" si="7"/>
        <v>573</v>
      </c>
      <c r="I239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40" spans="1:9" x14ac:dyDescent="0.35">
      <c r="A240" t="s">
        <v>246</v>
      </c>
      <c r="B240" t="s">
        <v>5</v>
      </c>
      <c r="C240" s="4">
        <v>45691</v>
      </c>
      <c r="D240" s="4">
        <v>45721</v>
      </c>
      <c r="E240" s="1">
        <v>34098.49</v>
      </c>
      <c r="F240" t="s">
        <v>3</v>
      </c>
      <c r="G240">
        <f t="shared" si="6"/>
        <v>30</v>
      </c>
      <c r="H240">
        <f t="shared" ca="1" si="7"/>
        <v>0</v>
      </c>
      <c r="I24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41" spans="1:9" x14ac:dyDescent="0.35">
      <c r="A241" t="s">
        <v>247</v>
      </c>
      <c r="B241" t="s">
        <v>9</v>
      </c>
      <c r="C241" s="4">
        <v>45095</v>
      </c>
      <c r="D241" s="4">
        <v>45125</v>
      </c>
      <c r="E241" s="1">
        <v>16454.830000000002</v>
      </c>
      <c r="F241" t="s">
        <v>3</v>
      </c>
      <c r="G241">
        <f t="shared" si="6"/>
        <v>30</v>
      </c>
      <c r="H241">
        <f t="shared" ca="1" si="7"/>
        <v>0</v>
      </c>
      <c r="I24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42" spans="1:9" x14ac:dyDescent="0.35">
      <c r="A242" t="s">
        <v>248</v>
      </c>
      <c r="B242" t="s">
        <v>7</v>
      </c>
      <c r="C242" s="4">
        <v>46094</v>
      </c>
      <c r="D242" s="4">
        <v>46124</v>
      </c>
      <c r="E242" s="1">
        <v>3049.69</v>
      </c>
      <c r="F242" t="s">
        <v>3</v>
      </c>
      <c r="G242">
        <f t="shared" si="6"/>
        <v>30</v>
      </c>
      <c r="H242">
        <f t="shared" ca="1" si="7"/>
        <v>0</v>
      </c>
      <c r="I24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43" spans="1:9" x14ac:dyDescent="0.35">
      <c r="A243" t="s">
        <v>249</v>
      </c>
      <c r="B243" t="s">
        <v>2</v>
      </c>
      <c r="C243" s="4">
        <v>46238</v>
      </c>
      <c r="D243" s="4">
        <v>46268</v>
      </c>
      <c r="E243" s="1">
        <v>3593.55</v>
      </c>
      <c r="F243" t="s">
        <v>3</v>
      </c>
      <c r="G243">
        <f t="shared" si="6"/>
        <v>30</v>
      </c>
      <c r="H243">
        <f t="shared" ca="1" si="7"/>
        <v>0</v>
      </c>
      <c r="I24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44" spans="1:9" x14ac:dyDescent="0.35">
      <c r="A244" t="s">
        <v>250</v>
      </c>
      <c r="B244" t="s">
        <v>11</v>
      </c>
      <c r="C244" s="4">
        <v>45046</v>
      </c>
      <c r="D244" s="4">
        <v>45076</v>
      </c>
      <c r="E244" s="1">
        <v>28194.16</v>
      </c>
      <c r="F244" t="s">
        <v>3</v>
      </c>
      <c r="G244">
        <f t="shared" si="6"/>
        <v>30</v>
      </c>
      <c r="H244">
        <f t="shared" ca="1" si="7"/>
        <v>0</v>
      </c>
      <c r="I24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45" spans="1:9" x14ac:dyDescent="0.35">
      <c r="A245" t="s">
        <v>251</v>
      </c>
      <c r="B245" t="s">
        <v>5</v>
      </c>
      <c r="C245" s="4">
        <v>45494</v>
      </c>
      <c r="D245" s="4">
        <v>45524</v>
      </c>
      <c r="E245" s="1">
        <v>28704.080000000002</v>
      </c>
      <c r="F245" t="s">
        <v>3</v>
      </c>
      <c r="G245">
        <f t="shared" si="6"/>
        <v>30</v>
      </c>
      <c r="H245">
        <f t="shared" ca="1" si="7"/>
        <v>0</v>
      </c>
      <c r="I24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46" spans="1:9" x14ac:dyDescent="0.35">
      <c r="A246" t="s">
        <v>252</v>
      </c>
      <c r="B246" t="s">
        <v>7</v>
      </c>
      <c r="C246" s="4">
        <v>45864</v>
      </c>
      <c r="D246" s="4">
        <v>45894</v>
      </c>
      <c r="E246" s="1">
        <v>1822.14</v>
      </c>
      <c r="F246" t="s">
        <v>3</v>
      </c>
      <c r="G246">
        <f t="shared" si="6"/>
        <v>30</v>
      </c>
      <c r="H246">
        <f t="shared" ca="1" si="7"/>
        <v>0</v>
      </c>
      <c r="I24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47" spans="1:9" x14ac:dyDescent="0.35">
      <c r="A247" t="s">
        <v>253</v>
      </c>
      <c r="B247" t="s">
        <v>9</v>
      </c>
      <c r="C247" s="4">
        <v>45657</v>
      </c>
      <c r="D247" s="4">
        <v>45687</v>
      </c>
      <c r="E247" s="1">
        <v>20699.11</v>
      </c>
      <c r="F247" t="s">
        <v>3</v>
      </c>
      <c r="G247">
        <f t="shared" si="6"/>
        <v>30</v>
      </c>
      <c r="H247">
        <f t="shared" ca="1" si="7"/>
        <v>0</v>
      </c>
      <c r="I24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48" spans="1:9" x14ac:dyDescent="0.35">
      <c r="A248" t="s">
        <v>254</v>
      </c>
      <c r="B248" t="s">
        <v>7</v>
      </c>
      <c r="C248" s="4">
        <v>46075</v>
      </c>
      <c r="D248" s="4">
        <v>46105</v>
      </c>
      <c r="E248" s="1">
        <v>46728.800000000003</v>
      </c>
      <c r="F248" t="s">
        <v>3</v>
      </c>
      <c r="G248">
        <f t="shared" si="6"/>
        <v>30</v>
      </c>
      <c r="H248">
        <f t="shared" ca="1" si="7"/>
        <v>0</v>
      </c>
      <c r="I24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49" spans="1:9" x14ac:dyDescent="0.35">
      <c r="A249" t="s">
        <v>255</v>
      </c>
      <c r="B249" t="s">
        <v>9</v>
      </c>
      <c r="C249" s="4">
        <v>44981</v>
      </c>
      <c r="D249" s="4">
        <v>45011</v>
      </c>
      <c r="E249" s="1">
        <v>48482.77</v>
      </c>
      <c r="F249" t="s">
        <v>3</v>
      </c>
      <c r="G249">
        <f t="shared" si="6"/>
        <v>30</v>
      </c>
      <c r="H249">
        <f t="shared" ca="1" si="7"/>
        <v>0</v>
      </c>
      <c r="I24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50" spans="1:9" x14ac:dyDescent="0.35">
      <c r="A250" t="s">
        <v>256</v>
      </c>
      <c r="B250" t="s">
        <v>9</v>
      </c>
      <c r="C250" s="4">
        <v>46225</v>
      </c>
      <c r="D250" s="4">
        <v>46255</v>
      </c>
      <c r="E250" s="1">
        <v>24982.58</v>
      </c>
      <c r="F250" t="s">
        <v>3</v>
      </c>
      <c r="G250">
        <f t="shared" si="6"/>
        <v>30</v>
      </c>
      <c r="H250">
        <f t="shared" ca="1" si="7"/>
        <v>0</v>
      </c>
      <c r="I25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51" spans="1:9" x14ac:dyDescent="0.35">
      <c r="A251" t="s">
        <v>257</v>
      </c>
      <c r="B251" t="s">
        <v>5</v>
      </c>
      <c r="C251" s="4">
        <v>45550</v>
      </c>
      <c r="D251" s="4">
        <v>45580</v>
      </c>
      <c r="E251" s="1">
        <v>32713.42</v>
      </c>
      <c r="F251" t="s">
        <v>3</v>
      </c>
      <c r="G251">
        <f t="shared" si="6"/>
        <v>30</v>
      </c>
      <c r="H251">
        <f t="shared" ca="1" si="7"/>
        <v>0</v>
      </c>
      <c r="I25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52" spans="1:9" x14ac:dyDescent="0.35">
      <c r="A252" t="s">
        <v>258</v>
      </c>
      <c r="B252" t="s">
        <v>11</v>
      </c>
      <c r="C252" s="4">
        <v>46067</v>
      </c>
      <c r="D252" s="4">
        <v>46097</v>
      </c>
      <c r="E252" s="1">
        <v>11211.53</v>
      </c>
      <c r="F252" t="s">
        <v>3</v>
      </c>
      <c r="G252">
        <f t="shared" si="6"/>
        <v>30</v>
      </c>
      <c r="H252">
        <f t="shared" ca="1" si="7"/>
        <v>0</v>
      </c>
      <c r="I25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53" spans="1:9" x14ac:dyDescent="0.35">
      <c r="A253" t="s">
        <v>259</v>
      </c>
      <c r="B253" t="s">
        <v>2</v>
      </c>
      <c r="C253" s="4">
        <v>45886</v>
      </c>
      <c r="D253" s="4">
        <v>45916</v>
      </c>
      <c r="E253" s="1">
        <v>1000.3</v>
      </c>
      <c r="F253" t="s">
        <v>3</v>
      </c>
      <c r="G253">
        <f t="shared" si="6"/>
        <v>30</v>
      </c>
      <c r="H253">
        <f t="shared" ca="1" si="7"/>
        <v>0</v>
      </c>
      <c r="I25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54" spans="1:9" x14ac:dyDescent="0.35">
      <c r="A254" t="s">
        <v>260</v>
      </c>
      <c r="B254" t="s">
        <v>5</v>
      </c>
      <c r="C254" s="4">
        <v>45807</v>
      </c>
      <c r="D254" s="4">
        <v>45837</v>
      </c>
      <c r="E254" s="1">
        <v>33193.31</v>
      </c>
      <c r="F254" t="s">
        <v>3</v>
      </c>
      <c r="G254">
        <f t="shared" si="6"/>
        <v>30</v>
      </c>
      <c r="H254">
        <f t="shared" ca="1" si="7"/>
        <v>0</v>
      </c>
      <c r="I25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55" spans="1:9" x14ac:dyDescent="0.35">
      <c r="A255" t="s">
        <v>261</v>
      </c>
      <c r="B255" t="s">
        <v>7</v>
      </c>
      <c r="C255" s="4">
        <v>45896</v>
      </c>
      <c r="D255" s="4">
        <v>45926</v>
      </c>
      <c r="E255" s="1">
        <v>19927.900000000001</v>
      </c>
      <c r="F255" t="s">
        <v>3</v>
      </c>
      <c r="G255">
        <f t="shared" si="6"/>
        <v>30</v>
      </c>
      <c r="H255">
        <f t="shared" ca="1" si="7"/>
        <v>0</v>
      </c>
      <c r="I25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56" spans="1:9" x14ac:dyDescent="0.35">
      <c r="A256" t="s">
        <v>262</v>
      </c>
      <c r="B256" t="s">
        <v>2</v>
      </c>
      <c r="C256" s="4">
        <v>45682</v>
      </c>
      <c r="D256" s="4">
        <v>45712</v>
      </c>
      <c r="E256" s="1">
        <v>17274.27</v>
      </c>
      <c r="F256" t="s">
        <v>3</v>
      </c>
      <c r="G256">
        <f t="shared" si="6"/>
        <v>30</v>
      </c>
      <c r="H256">
        <f t="shared" ca="1" si="7"/>
        <v>0</v>
      </c>
      <c r="I25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57" spans="1:9" x14ac:dyDescent="0.35">
      <c r="A257" t="s">
        <v>263</v>
      </c>
      <c r="B257" t="s">
        <v>5</v>
      </c>
      <c r="C257" s="4">
        <v>46197</v>
      </c>
      <c r="D257" s="4">
        <v>46227</v>
      </c>
      <c r="E257" s="1">
        <v>13500.01</v>
      </c>
      <c r="F257" t="s">
        <v>18</v>
      </c>
      <c r="G257">
        <f t="shared" si="6"/>
        <v>30</v>
      </c>
      <c r="H257">
        <f t="shared" ca="1" si="7"/>
        <v>61</v>
      </c>
      <c r="I257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61-90 days</v>
      </c>
    </row>
    <row r="258" spans="1:9" x14ac:dyDescent="0.35">
      <c r="A258" t="s">
        <v>264</v>
      </c>
      <c r="B258" t="s">
        <v>2</v>
      </c>
      <c r="C258" s="4">
        <v>45869</v>
      </c>
      <c r="D258" s="4">
        <v>45899</v>
      </c>
      <c r="E258" s="1">
        <v>33809.03</v>
      </c>
      <c r="F258" t="s">
        <v>3</v>
      </c>
      <c r="G258">
        <f t="shared" ref="G258:G321" si="8">D258-C258</f>
        <v>30</v>
      </c>
      <c r="H258">
        <f t="shared" ref="H258:H321" ca="1" si="9">IF(F258="Unpaid", TODAY() - D258, 0)</f>
        <v>0</v>
      </c>
      <c r="I25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59" spans="1:9" x14ac:dyDescent="0.35">
      <c r="A259" t="s">
        <v>265</v>
      </c>
      <c r="B259" t="s">
        <v>7</v>
      </c>
      <c r="C259" s="4">
        <v>45028</v>
      </c>
      <c r="D259" s="4">
        <v>45058</v>
      </c>
      <c r="E259" s="1">
        <v>1201.19</v>
      </c>
      <c r="F259" t="s">
        <v>3</v>
      </c>
      <c r="G259">
        <f t="shared" si="8"/>
        <v>30</v>
      </c>
      <c r="H259">
        <f t="shared" ca="1" si="9"/>
        <v>0</v>
      </c>
      <c r="I25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60" spans="1:9" x14ac:dyDescent="0.35">
      <c r="A260" t="s">
        <v>266</v>
      </c>
      <c r="B260" t="s">
        <v>2</v>
      </c>
      <c r="C260" s="4">
        <v>46044</v>
      </c>
      <c r="D260" s="4">
        <v>46074</v>
      </c>
      <c r="E260" s="1">
        <v>1416.74</v>
      </c>
      <c r="F260" t="s">
        <v>3</v>
      </c>
      <c r="G260">
        <f t="shared" si="8"/>
        <v>30</v>
      </c>
      <c r="H260">
        <f t="shared" ca="1" si="9"/>
        <v>0</v>
      </c>
      <c r="I26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61" spans="1:9" x14ac:dyDescent="0.35">
      <c r="A261" t="s">
        <v>267</v>
      </c>
      <c r="B261" t="s">
        <v>7</v>
      </c>
      <c r="C261" s="4">
        <v>45182</v>
      </c>
      <c r="D261" s="4">
        <v>45212</v>
      </c>
      <c r="E261" s="1">
        <v>43788.93</v>
      </c>
      <c r="F261" t="s">
        <v>3</v>
      </c>
      <c r="G261">
        <f t="shared" si="8"/>
        <v>30</v>
      </c>
      <c r="H261">
        <f t="shared" ca="1" si="9"/>
        <v>0</v>
      </c>
      <c r="I26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62" spans="1:9" x14ac:dyDescent="0.35">
      <c r="A262" t="s">
        <v>268</v>
      </c>
      <c r="B262" t="s">
        <v>2</v>
      </c>
      <c r="C262" s="4">
        <v>45221</v>
      </c>
      <c r="D262" s="4">
        <v>45251</v>
      </c>
      <c r="E262" s="1">
        <v>30429.85</v>
      </c>
      <c r="F262" t="s">
        <v>3</v>
      </c>
      <c r="G262">
        <f t="shared" si="8"/>
        <v>30</v>
      </c>
      <c r="H262">
        <f t="shared" ca="1" si="9"/>
        <v>0</v>
      </c>
      <c r="I26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63" spans="1:9" x14ac:dyDescent="0.35">
      <c r="A263" t="s">
        <v>269</v>
      </c>
      <c r="B263" t="s">
        <v>2</v>
      </c>
      <c r="C263" s="4">
        <v>45462</v>
      </c>
      <c r="D263" s="4">
        <v>45492</v>
      </c>
      <c r="E263" s="1">
        <v>43476.94</v>
      </c>
      <c r="F263" t="s">
        <v>3</v>
      </c>
      <c r="G263">
        <f t="shared" si="8"/>
        <v>30</v>
      </c>
      <c r="H263">
        <f t="shared" ca="1" si="9"/>
        <v>0</v>
      </c>
      <c r="I26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64" spans="1:9" x14ac:dyDescent="0.35">
      <c r="A264" t="s">
        <v>270</v>
      </c>
      <c r="B264" t="s">
        <v>2</v>
      </c>
      <c r="C264" s="4">
        <v>45331</v>
      </c>
      <c r="D264" s="4">
        <v>45361</v>
      </c>
      <c r="E264" s="1">
        <v>22354.84</v>
      </c>
      <c r="F264" t="s">
        <v>3</v>
      </c>
      <c r="G264">
        <f t="shared" si="8"/>
        <v>30</v>
      </c>
      <c r="H264">
        <f t="shared" ca="1" si="9"/>
        <v>0</v>
      </c>
      <c r="I26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65" spans="1:9" x14ac:dyDescent="0.35">
      <c r="A265" t="s">
        <v>271</v>
      </c>
      <c r="B265" t="s">
        <v>2</v>
      </c>
      <c r="C265" s="4">
        <v>46011</v>
      </c>
      <c r="D265" s="4">
        <v>46041</v>
      </c>
      <c r="E265" s="1">
        <v>33612.080000000002</v>
      </c>
      <c r="F265" t="s">
        <v>3</v>
      </c>
      <c r="G265">
        <f t="shared" si="8"/>
        <v>30</v>
      </c>
      <c r="H265">
        <f t="shared" ca="1" si="9"/>
        <v>0</v>
      </c>
      <c r="I26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66" spans="1:9" x14ac:dyDescent="0.35">
      <c r="A266" t="s">
        <v>272</v>
      </c>
      <c r="B266" t="s">
        <v>9</v>
      </c>
      <c r="C266" s="4">
        <v>45576</v>
      </c>
      <c r="D266" s="4">
        <v>45606</v>
      </c>
      <c r="E266" s="1">
        <v>49496.4</v>
      </c>
      <c r="F266" t="s">
        <v>3</v>
      </c>
      <c r="G266">
        <f t="shared" si="8"/>
        <v>30</v>
      </c>
      <c r="H266">
        <f t="shared" ca="1" si="9"/>
        <v>0</v>
      </c>
      <c r="I26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67" spans="1:9" x14ac:dyDescent="0.35">
      <c r="A267" t="s">
        <v>273</v>
      </c>
      <c r="B267" t="s">
        <v>5</v>
      </c>
      <c r="C267" s="4">
        <v>45469</v>
      </c>
      <c r="D267" s="4">
        <v>45499</v>
      </c>
      <c r="E267" s="1">
        <v>11377.28</v>
      </c>
      <c r="F267" t="s">
        <v>3</v>
      </c>
      <c r="G267">
        <f t="shared" si="8"/>
        <v>30</v>
      </c>
      <c r="H267">
        <f t="shared" ca="1" si="9"/>
        <v>0</v>
      </c>
      <c r="I26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68" spans="1:9" x14ac:dyDescent="0.35">
      <c r="A268" t="s">
        <v>274</v>
      </c>
      <c r="B268" t="s">
        <v>5</v>
      </c>
      <c r="C268" s="4">
        <v>45807</v>
      </c>
      <c r="D268" s="4">
        <v>45837</v>
      </c>
      <c r="E268" s="1">
        <v>42332.15</v>
      </c>
      <c r="F268" t="s">
        <v>3</v>
      </c>
      <c r="G268">
        <f t="shared" si="8"/>
        <v>30</v>
      </c>
      <c r="H268">
        <f t="shared" ca="1" si="9"/>
        <v>0</v>
      </c>
      <c r="I26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69" spans="1:9" x14ac:dyDescent="0.35">
      <c r="A269" t="s">
        <v>275</v>
      </c>
      <c r="B269" t="s">
        <v>2</v>
      </c>
      <c r="C269" s="4">
        <v>45750</v>
      </c>
      <c r="D269" s="4">
        <v>45780</v>
      </c>
      <c r="E269" s="1">
        <v>39973.199999999997</v>
      </c>
      <c r="F269" t="s">
        <v>3</v>
      </c>
      <c r="G269">
        <f t="shared" si="8"/>
        <v>30</v>
      </c>
      <c r="H269">
        <f t="shared" ca="1" si="9"/>
        <v>0</v>
      </c>
      <c r="I26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70" spans="1:9" x14ac:dyDescent="0.35">
      <c r="A270" t="s">
        <v>276</v>
      </c>
      <c r="B270" t="s">
        <v>7</v>
      </c>
      <c r="C270" s="4">
        <v>45385</v>
      </c>
      <c r="D270" s="4">
        <v>45415</v>
      </c>
      <c r="E270" s="1">
        <v>15568.45</v>
      </c>
      <c r="F270" t="s">
        <v>3</v>
      </c>
      <c r="G270">
        <f t="shared" si="8"/>
        <v>30</v>
      </c>
      <c r="H270">
        <f t="shared" ca="1" si="9"/>
        <v>0</v>
      </c>
      <c r="I27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71" spans="1:9" x14ac:dyDescent="0.35">
      <c r="A271" t="s">
        <v>277</v>
      </c>
      <c r="B271" t="s">
        <v>9</v>
      </c>
      <c r="C271" s="4">
        <v>45708</v>
      </c>
      <c r="D271" s="4">
        <v>45738</v>
      </c>
      <c r="E271" s="1">
        <v>12045.78</v>
      </c>
      <c r="F271" t="s">
        <v>3</v>
      </c>
      <c r="G271">
        <f t="shared" si="8"/>
        <v>30</v>
      </c>
      <c r="H271">
        <f t="shared" ca="1" si="9"/>
        <v>0</v>
      </c>
      <c r="I27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72" spans="1:9" x14ac:dyDescent="0.35">
      <c r="A272" t="s">
        <v>278</v>
      </c>
      <c r="B272" t="s">
        <v>9</v>
      </c>
      <c r="C272" s="4">
        <v>45361</v>
      </c>
      <c r="D272" s="4">
        <v>45391</v>
      </c>
      <c r="E272" s="1">
        <v>33597.519999999997</v>
      </c>
      <c r="F272" t="s">
        <v>3</v>
      </c>
      <c r="G272">
        <f t="shared" si="8"/>
        <v>30</v>
      </c>
      <c r="H272">
        <f t="shared" ca="1" si="9"/>
        <v>0</v>
      </c>
      <c r="I27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73" spans="1:9" x14ac:dyDescent="0.35">
      <c r="A273" t="s">
        <v>279</v>
      </c>
      <c r="B273" t="s">
        <v>11</v>
      </c>
      <c r="C273" s="4">
        <v>45594</v>
      </c>
      <c r="D273" s="4">
        <v>45624</v>
      </c>
      <c r="E273" s="1">
        <v>26700.57</v>
      </c>
      <c r="F273" t="s">
        <v>3</v>
      </c>
      <c r="G273">
        <f t="shared" si="8"/>
        <v>30</v>
      </c>
      <c r="H273">
        <f t="shared" ca="1" si="9"/>
        <v>0</v>
      </c>
      <c r="I27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74" spans="1:9" x14ac:dyDescent="0.35">
      <c r="A274" t="s">
        <v>280</v>
      </c>
      <c r="B274" t="s">
        <v>7</v>
      </c>
      <c r="C274" s="4">
        <v>45150</v>
      </c>
      <c r="D274" s="4">
        <v>45180</v>
      </c>
      <c r="E274" s="1">
        <v>5281.82</v>
      </c>
      <c r="F274" t="s">
        <v>3</v>
      </c>
      <c r="G274">
        <f t="shared" si="8"/>
        <v>30</v>
      </c>
      <c r="H274">
        <f t="shared" ca="1" si="9"/>
        <v>0</v>
      </c>
      <c r="I27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75" spans="1:9" x14ac:dyDescent="0.35">
      <c r="A275" t="s">
        <v>281</v>
      </c>
      <c r="B275" t="s">
        <v>2</v>
      </c>
      <c r="C275" s="4">
        <v>45888</v>
      </c>
      <c r="D275" s="4">
        <v>45918</v>
      </c>
      <c r="E275" s="1">
        <v>41876.01</v>
      </c>
      <c r="F275" t="s">
        <v>3</v>
      </c>
      <c r="G275">
        <f t="shared" si="8"/>
        <v>30</v>
      </c>
      <c r="H275">
        <f t="shared" ca="1" si="9"/>
        <v>0</v>
      </c>
      <c r="I27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76" spans="1:9" x14ac:dyDescent="0.35">
      <c r="A276" t="s">
        <v>282</v>
      </c>
      <c r="B276" t="s">
        <v>2</v>
      </c>
      <c r="C276" s="4">
        <v>45582</v>
      </c>
      <c r="D276" s="4">
        <v>45612</v>
      </c>
      <c r="E276" s="1">
        <v>27535.279999999999</v>
      </c>
      <c r="F276" t="s">
        <v>3</v>
      </c>
      <c r="G276">
        <f t="shared" si="8"/>
        <v>30</v>
      </c>
      <c r="H276">
        <f t="shared" ca="1" si="9"/>
        <v>0</v>
      </c>
      <c r="I27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77" spans="1:9" x14ac:dyDescent="0.35">
      <c r="A277" t="s">
        <v>283</v>
      </c>
      <c r="B277" t="s">
        <v>9</v>
      </c>
      <c r="C277" s="4">
        <v>45251</v>
      </c>
      <c r="D277" s="4">
        <v>45281</v>
      </c>
      <c r="E277" s="1">
        <v>40408.9</v>
      </c>
      <c r="F277" t="s">
        <v>3</v>
      </c>
      <c r="G277">
        <f t="shared" si="8"/>
        <v>30</v>
      </c>
      <c r="H277">
        <f t="shared" ca="1" si="9"/>
        <v>0</v>
      </c>
      <c r="I27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78" spans="1:9" x14ac:dyDescent="0.35">
      <c r="A278" t="s">
        <v>284</v>
      </c>
      <c r="B278" t="s">
        <v>9</v>
      </c>
      <c r="C278" s="4">
        <v>45306</v>
      </c>
      <c r="D278" s="4">
        <v>45336</v>
      </c>
      <c r="E278" s="1">
        <v>35625.050000000003</v>
      </c>
      <c r="F278" t="s">
        <v>18</v>
      </c>
      <c r="G278">
        <f t="shared" si="8"/>
        <v>30</v>
      </c>
      <c r="H278">
        <f t="shared" ca="1" si="9"/>
        <v>952</v>
      </c>
      <c r="I278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79" spans="1:9" x14ac:dyDescent="0.35">
      <c r="A279" t="s">
        <v>285</v>
      </c>
      <c r="B279" t="s">
        <v>2</v>
      </c>
      <c r="C279" s="4">
        <v>45858</v>
      </c>
      <c r="D279" s="4">
        <v>45888</v>
      </c>
      <c r="E279" s="1">
        <v>25348.47</v>
      </c>
      <c r="F279" t="s">
        <v>3</v>
      </c>
      <c r="G279">
        <f t="shared" si="8"/>
        <v>30</v>
      </c>
      <c r="H279">
        <f t="shared" ca="1" si="9"/>
        <v>0</v>
      </c>
      <c r="I27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80" spans="1:9" x14ac:dyDescent="0.35">
      <c r="A280" t="s">
        <v>286</v>
      </c>
      <c r="B280" t="s">
        <v>2</v>
      </c>
      <c r="C280" s="4">
        <v>45358</v>
      </c>
      <c r="D280" s="4">
        <v>45388</v>
      </c>
      <c r="E280" s="1">
        <v>46873.15</v>
      </c>
      <c r="F280" t="s">
        <v>3</v>
      </c>
      <c r="G280">
        <f t="shared" si="8"/>
        <v>30</v>
      </c>
      <c r="H280">
        <f t="shared" ca="1" si="9"/>
        <v>0</v>
      </c>
      <c r="I28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81" spans="1:9" x14ac:dyDescent="0.35">
      <c r="A281" t="s">
        <v>287</v>
      </c>
      <c r="B281" t="s">
        <v>2</v>
      </c>
      <c r="C281" s="4">
        <v>45351</v>
      </c>
      <c r="D281" s="4">
        <v>45381</v>
      </c>
      <c r="E281" s="1">
        <v>17802.63</v>
      </c>
      <c r="F281" t="s">
        <v>3</v>
      </c>
      <c r="G281">
        <f t="shared" si="8"/>
        <v>30</v>
      </c>
      <c r="H281">
        <f t="shared" ca="1" si="9"/>
        <v>0</v>
      </c>
      <c r="I28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82" spans="1:9" x14ac:dyDescent="0.35">
      <c r="A282" t="s">
        <v>288</v>
      </c>
      <c r="B282" t="s">
        <v>11</v>
      </c>
      <c r="C282" s="4">
        <v>46076</v>
      </c>
      <c r="D282" s="4">
        <v>46106</v>
      </c>
      <c r="E282" s="1">
        <v>45297.85</v>
      </c>
      <c r="F282" t="s">
        <v>3</v>
      </c>
      <c r="G282">
        <f t="shared" si="8"/>
        <v>30</v>
      </c>
      <c r="H282">
        <f t="shared" ca="1" si="9"/>
        <v>0</v>
      </c>
      <c r="I28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83" spans="1:9" x14ac:dyDescent="0.35">
      <c r="A283" t="s">
        <v>289</v>
      </c>
      <c r="B283" t="s">
        <v>5</v>
      </c>
      <c r="C283" s="4">
        <v>45987</v>
      </c>
      <c r="D283" s="4">
        <v>46017</v>
      </c>
      <c r="E283" s="1">
        <v>27561.27</v>
      </c>
      <c r="F283" t="s">
        <v>3</v>
      </c>
      <c r="G283">
        <f t="shared" si="8"/>
        <v>30</v>
      </c>
      <c r="H283">
        <f t="shared" ca="1" si="9"/>
        <v>0</v>
      </c>
      <c r="I28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84" spans="1:9" x14ac:dyDescent="0.35">
      <c r="A284" t="s">
        <v>290</v>
      </c>
      <c r="B284" t="s">
        <v>5</v>
      </c>
      <c r="C284" s="4">
        <v>45802</v>
      </c>
      <c r="D284" s="4">
        <v>45832</v>
      </c>
      <c r="E284" s="1">
        <v>22884.99</v>
      </c>
      <c r="F284" t="s">
        <v>18</v>
      </c>
      <c r="G284">
        <f t="shared" si="8"/>
        <v>30</v>
      </c>
      <c r="H284">
        <f t="shared" ca="1" si="9"/>
        <v>456</v>
      </c>
      <c r="I284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85" spans="1:9" x14ac:dyDescent="0.35">
      <c r="A285" t="s">
        <v>291</v>
      </c>
      <c r="B285" t="s">
        <v>11</v>
      </c>
      <c r="C285" s="4">
        <v>45582</v>
      </c>
      <c r="D285" s="4">
        <v>45612</v>
      </c>
      <c r="E285" s="1">
        <v>6265.25</v>
      </c>
      <c r="F285" t="s">
        <v>3</v>
      </c>
      <c r="G285">
        <f t="shared" si="8"/>
        <v>30</v>
      </c>
      <c r="H285">
        <f t="shared" ca="1" si="9"/>
        <v>0</v>
      </c>
      <c r="I28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86" spans="1:9" x14ac:dyDescent="0.35">
      <c r="A286" t="s">
        <v>292</v>
      </c>
      <c r="B286" t="s">
        <v>11</v>
      </c>
      <c r="C286" s="4">
        <v>45150</v>
      </c>
      <c r="D286" s="4">
        <v>45180</v>
      </c>
      <c r="E286" s="1">
        <v>25114.13</v>
      </c>
      <c r="F286" t="s">
        <v>18</v>
      </c>
      <c r="G286">
        <f t="shared" si="8"/>
        <v>30</v>
      </c>
      <c r="H286">
        <f t="shared" ca="1" si="9"/>
        <v>1108</v>
      </c>
      <c r="I286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87" spans="1:9" x14ac:dyDescent="0.35">
      <c r="A287" t="s">
        <v>293</v>
      </c>
      <c r="B287" t="s">
        <v>5</v>
      </c>
      <c r="C287" s="4">
        <v>45330</v>
      </c>
      <c r="D287" s="4">
        <v>45360</v>
      </c>
      <c r="E287" s="1">
        <v>32829.47</v>
      </c>
      <c r="F287" t="s">
        <v>3</v>
      </c>
      <c r="G287">
        <f t="shared" si="8"/>
        <v>30</v>
      </c>
      <c r="H287">
        <f t="shared" ca="1" si="9"/>
        <v>0</v>
      </c>
      <c r="I28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88" spans="1:9" x14ac:dyDescent="0.35">
      <c r="A288" t="s">
        <v>294</v>
      </c>
      <c r="B288" t="s">
        <v>9</v>
      </c>
      <c r="C288" s="4">
        <v>46213</v>
      </c>
      <c r="D288" s="4">
        <v>46243</v>
      </c>
      <c r="E288" s="1">
        <v>31795.06</v>
      </c>
      <c r="F288" t="s">
        <v>3</v>
      </c>
      <c r="G288">
        <f t="shared" si="8"/>
        <v>30</v>
      </c>
      <c r="H288">
        <f t="shared" ca="1" si="9"/>
        <v>0</v>
      </c>
      <c r="I28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89" spans="1:9" x14ac:dyDescent="0.35">
      <c r="A289" t="s">
        <v>295</v>
      </c>
      <c r="B289" t="s">
        <v>7</v>
      </c>
      <c r="C289" s="4">
        <v>46262</v>
      </c>
      <c r="D289" s="4">
        <v>46292</v>
      </c>
      <c r="E289" s="1">
        <v>1493.97</v>
      </c>
      <c r="F289" t="s">
        <v>3</v>
      </c>
      <c r="G289">
        <f t="shared" si="8"/>
        <v>30</v>
      </c>
      <c r="H289">
        <f t="shared" ca="1" si="9"/>
        <v>0</v>
      </c>
      <c r="I28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90" spans="1:9" x14ac:dyDescent="0.35">
      <c r="A290" t="s">
        <v>296</v>
      </c>
      <c r="B290" t="s">
        <v>2</v>
      </c>
      <c r="C290" s="4">
        <v>45614</v>
      </c>
      <c r="D290" s="4">
        <v>45644</v>
      </c>
      <c r="E290" s="1">
        <v>21864.7</v>
      </c>
      <c r="F290" t="s">
        <v>3</v>
      </c>
      <c r="G290">
        <f t="shared" si="8"/>
        <v>30</v>
      </c>
      <c r="H290">
        <f t="shared" ca="1" si="9"/>
        <v>0</v>
      </c>
      <c r="I29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91" spans="1:9" x14ac:dyDescent="0.35">
      <c r="A291" t="s">
        <v>297</v>
      </c>
      <c r="B291" t="s">
        <v>11</v>
      </c>
      <c r="C291" s="4">
        <v>45184</v>
      </c>
      <c r="D291" s="4">
        <v>45214</v>
      </c>
      <c r="E291" s="1">
        <v>12748.49</v>
      </c>
      <c r="F291" t="s">
        <v>3</v>
      </c>
      <c r="G291">
        <f t="shared" si="8"/>
        <v>30</v>
      </c>
      <c r="H291">
        <f t="shared" ca="1" si="9"/>
        <v>0</v>
      </c>
      <c r="I29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92" spans="1:9" x14ac:dyDescent="0.35">
      <c r="A292" t="s">
        <v>298</v>
      </c>
      <c r="B292" t="s">
        <v>9</v>
      </c>
      <c r="C292" s="4">
        <v>46099</v>
      </c>
      <c r="D292" s="4">
        <v>46129</v>
      </c>
      <c r="E292" s="1">
        <v>40076.980000000003</v>
      </c>
      <c r="F292" t="s">
        <v>3</v>
      </c>
      <c r="G292">
        <f t="shared" si="8"/>
        <v>30</v>
      </c>
      <c r="H292">
        <f t="shared" ca="1" si="9"/>
        <v>0</v>
      </c>
      <c r="I29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93" spans="1:9" x14ac:dyDescent="0.35">
      <c r="A293" t="s">
        <v>299</v>
      </c>
      <c r="B293" t="s">
        <v>11</v>
      </c>
      <c r="C293" s="4">
        <v>45414</v>
      </c>
      <c r="D293" s="4">
        <v>45444</v>
      </c>
      <c r="E293" s="1">
        <v>10669.78</v>
      </c>
      <c r="F293" t="s">
        <v>18</v>
      </c>
      <c r="G293">
        <f t="shared" si="8"/>
        <v>30</v>
      </c>
      <c r="H293">
        <f t="shared" ca="1" si="9"/>
        <v>844</v>
      </c>
      <c r="I293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94" spans="1:9" x14ac:dyDescent="0.35">
      <c r="A294" t="s">
        <v>300</v>
      </c>
      <c r="B294" t="s">
        <v>7</v>
      </c>
      <c r="C294" s="4">
        <v>44981</v>
      </c>
      <c r="D294" s="4">
        <v>45011</v>
      </c>
      <c r="E294" s="1">
        <v>13449.64</v>
      </c>
      <c r="F294" t="s">
        <v>3</v>
      </c>
      <c r="G294">
        <f t="shared" si="8"/>
        <v>30</v>
      </c>
      <c r="H294">
        <f t="shared" ca="1" si="9"/>
        <v>0</v>
      </c>
      <c r="I29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95" spans="1:9" x14ac:dyDescent="0.35">
      <c r="A295" t="s">
        <v>301</v>
      </c>
      <c r="B295" t="s">
        <v>5</v>
      </c>
      <c r="C295" s="4">
        <v>44999</v>
      </c>
      <c r="D295" s="4">
        <v>45029</v>
      </c>
      <c r="E295" s="1">
        <v>16961.75</v>
      </c>
      <c r="F295" t="s">
        <v>18</v>
      </c>
      <c r="G295">
        <f t="shared" si="8"/>
        <v>30</v>
      </c>
      <c r="H295">
        <f t="shared" ca="1" si="9"/>
        <v>1259</v>
      </c>
      <c r="I295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96" spans="1:9" x14ac:dyDescent="0.35">
      <c r="A296" t="s">
        <v>302</v>
      </c>
      <c r="B296" t="s">
        <v>2</v>
      </c>
      <c r="C296" s="4">
        <v>45864</v>
      </c>
      <c r="D296" s="4">
        <v>45894</v>
      </c>
      <c r="E296" s="1">
        <v>17194.990000000002</v>
      </c>
      <c r="F296" t="s">
        <v>18</v>
      </c>
      <c r="G296">
        <f t="shared" si="8"/>
        <v>30</v>
      </c>
      <c r="H296">
        <f t="shared" ca="1" si="9"/>
        <v>394</v>
      </c>
      <c r="I296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97" spans="1:9" x14ac:dyDescent="0.35">
      <c r="A297" t="s">
        <v>303</v>
      </c>
      <c r="B297" t="s">
        <v>11</v>
      </c>
      <c r="C297" s="4">
        <v>45687</v>
      </c>
      <c r="D297" s="4">
        <v>45717</v>
      </c>
      <c r="E297" s="1">
        <v>48996.34</v>
      </c>
      <c r="F297" t="s">
        <v>3</v>
      </c>
      <c r="G297">
        <f t="shared" si="8"/>
        <v>30</v>
      </c>
      <c r="H297">
        <f t="shared" ca="1" si="9"/>
        <v>0</v>
      </c>
      <c r="I29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298" spans="1:9" x14ac:dyDescent="0.35">
      <c r="A298" t="s">
        <v>304</v>
      </c>
      <c r="B298" t="s">
        <v>5</v>
      </c>
      <c r="C298" s="4">
        <v>44954</v>
      </c>
      <c r="D298" s="4">
        <v>44984</v>
      </c>
      <c r="E298" s="1">
        <v>30031.55</v>
      </c>
      <c r="F298" t="s">
        <v>18</v>
      </c>
      <c r="G298">
        <f t="shared" si="8"/>
        <v>30</v>
      </c>
      <c r="H298">
        <f t="shared" ca="1" si="9"/>
        <v>1304</v>
      </c>
      <c r="I298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299" spans="1:9" x14ac:dyDescent="0.35">
      <c r="A299" t="s">
        <v>305</v>
      </c>
      <c r="B299" t="s">
        <v>5</v>
      </c>
      <c r="C299" s="4">
        <v>45841</v>
      </c>
      <c r="D299" s="4">
        <v>45871</v>
      </c>
      <c r="E299" s="1">
        <v>42393.02</v>
      </c>
      <c r="F299" t="s">
        <v>3</v>
      </c>
      <c r="G299">
        <f t="shared" si="8"/>
        <v>30</v>
      </c>
      <c r="H299">
        <f t="shared" ca="1" si="9"/>
        <v>0</v>
      </c>
      <c r="I29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00" spans="1:9" x14ac:dyDescent="0.35">
      <c r="A300" t="s">
        <v>306</v>
      </c>
      <c r="B300" t="s">
        <v>5</v>
      </c>
      <c r="C300" s="4">
        <v>45014</v>
      </c>
      <c r="D300" s="4">
        <v>45044</v>
      </c>
      <c r="E300" s="1">
        <v>48899.69</v>
      </c>
      <c r="F300" t="s">
        <v>3</v>
      </c>
      <c r="G300">
        <f t="shared" si="8"/>
        <v>30</v>
      </c>
      <c r="H300">
        <f t="shared" ca="1" si="9"/>
        <v>0</v>
      </c>
      <c r="I30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01" spans="1:9" x14ac:dyDescent="0.35">
      <c r="A301" t="s">
        <v>307</v>
      </c>
      <c r="B301" t="s">
        <v>9</v>
      </c>
      <c r="C301" s="4">
        <v>45404</v>
      </c>
      <c r="D301" s="4">
        <v>45434</v>
      </c>
      <c r="E301" s="1">
        <v>29818.400000000001</v>
      </c>
      <c r="F301" t="s">
        <v>3</v>
      </c>
      <c r="G301">
        <f t="shared" si="8"/>
        <v>30</v>
      </c>
      <c r="H301">
        <f t="shared" ca="1" si="9"/>
        <v>0</v>
      </c>
      <c r="I30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02" spans="1:9" x14ac:dyDescent="0.35">
      <c r="A302" t="s">
        <v>308</v>
      </c>
      <c r="B302" t="s">
        <v>7</v>
      </c>
      <c r="C302" s="4">
        <v>46072</v>
      </c>
      <c r="D302" s="4">
        <v>46102</v>
      </c>
      <c r="E302" s="1">
        <v>38521.71</v>
      </c>
      <c r="F302" t="s">
        <v>18</v>
      </c>
      <c r="G302">
        <f t="shared" si="8"/>
        <v>30</v>
      </c>
      <c r="H302">
        <f t="shared" ca="1" si="9"/>
        <v>186</v>
      </c>
      <c r="I302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303" spans="1:9" x14ac:dyDescent="0.35">
      <c r="A303" t="s">
        <v>309</v>
      </c>
      <c r="B303" t="s">
        <v>9</v>
      </c>
      <c r="C303" s="4">
        <v>46217</v>
      </c>
      <c r="D303" s="4">
        <v>46247</v>
      </c>
      <c r="E303" s="1">
        <v>8114.93</v>
      </c>
      <c r="F303" t="s">
        <v>3</v>
      </c>
      <c r="G303">
        <f t="shared" si="8"/>
        <v>30</v>
      </c>
      <c r="H303">
        <f t="shared" ca="1" si="9"/>
        <v>0</v>
      </c>
      <c r="I30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04" spans="1:9" x14ac:dyDescent="0.35">
      <c r="A304" t="s">
        <v>310</v>
      </c>
      <c r="B304" t="s">
        <v>2</v>
      </c>
      <c r="C304" s="4">
        <v>45326</v>
      </c>
      <c r="D304" s="4">
        <v>45356</v>
      </c>
      <c r="E304" s="1">
        <v>40380.93</v>
      </c>
      <c r="F304" t="s">
        <v>3</v>
      </c>
      <c r="G304">
        <f t="shared" si="8"/>
        <v>30</v>
      </c>
      <c r="H304">
        <f t="shared" ca="1" si="9"/>
        <v>0</v>
      </c>
      <c r="I30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05" spans="1:9" x14ac:dyDescent="0.35">
      <c r="A305" t="s">
        <v>311</v>
      </c>
      <c r="B305" t="s">
        <v>5</v>
      </c>
      <c r="C305" s="4">
        <v>46255</v>
      </c>
      <c r="D305" s="4">
        <v>46285</v>
      </c>
      <c r="E305" s="1">
        <v>5301.04</v>
      </c>
      <c r="F305" t="s">
        <v>3</v>
      </c>
      <c r="G305">
        <f t="shared" si="8"/>
        <v>30</v>
      </c>
      <c r="H305">
        <f t="shared" ca="1" si="9"/>
        <v>0</v>
      </c>
      <c r="I30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06" spans="1:9" x14ac:dyDescent="0.35">
      <c r="A306" t="s">
        <v>312</v>
      </c>
      <c r="B306" t="s">
        <v>9</v>
      </c>
      <c r="C306" s="4">
        <v>45777</v>
      </c>
      <c r="D306" s="4">
        <v>45807</v>
      </c>
      <c r="E306" s="1">
        <v>49443.41</v>
      </c>
      <c r="F306" t="s">
        <v>18</v>
      </c>
      <c r="G306">
        <f t="shared" si="8"/>
        <v>30</v>
      </c>
      <c r="H306">
        <f t="shared" ca="1" si="9"/>
        <v>481</v>
      </c>
      <c r="I306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307" spans="1:9" x14ac:dyDescent="0.35">
      <c r="A307" t="s">
        <v>313</v>
      </c>
      <c r="B307" t="s">
        <v>5</v>
      </c>
      <c r="C307" s="4">
        <v>45463</v>
      </c>
      <c r="D307" s="4">
        <v>45493</v>
      </c>
      <c r="E307" s="1">
        <v>46335.33</v>
      </c>
      <c r="F307" t="s">
        <v>3</v>
      </c>
      <c r="G307">
        <f t="shared" si="8"/>
        <v>30</v>
      </c>
      <c r="H307">
        <f t="shared" ca="1" si="9"/>
        <v>0</v>
      </c>
      <c r="I30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08" spans="1:9" x14ac:dyDescent="0.35">
      <c r="A308" t="s">
        <v>314</v>
      </c>
      <c r="B308" t="s">
        <v>7</v>
      </c>
      <c r="C308" s="4">
        <v>45792</v>
      </c>
      <c r="D308" s="4">
        <v>45822</v>
      </c>
      <c r="E308" s="1">
        <v>18578.580000000002</v>
      </c>
      <c r="F308" t="s">
        <v>18</v>
      </c>
      <c r="G308">
        <f t="shared" si="8"/>
        <v>30</v>
      </c>
      <c r="H308">
        <f t="shared" ca="1" si="9"/>
        <v>466</v>
      </c>
      <c r="I308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309" spans="1:9" x14ac:dyDescent="0.35">
      <c r="A309" t="s">
        <v>315</v>
      </c>
      <c r="B309" t="s">
        <v>2</v>
      </c>
      <c r="C309" s="4">
        <v>45327</v>
      </c>
      <c r="D309" s="4">
        <v>45357</v>
      </c>
      <c r="E309" s="1">
        <v>45553.98</v>
      </c>
      <c r="F309" t="s">
        <v>3</v>
      </c>
      <c r="G309">
        <f t="shared" si="8"/>
        <v>30</v>
      </c>
      <c r="H309">
        <f t="shared" ca="1" si="9"/>
        <v>0</v>
      </c>
      <c r="I30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10" spans="1:9" x14ac:dyDescent="0.35">
      <c r="A310" t="s">
        <v>316</v>
      </c>
      <c r="B310" t="s">
        <v>9</v>
      </c>
      <c r="C310" s="4">
        <v>45814</v>
      </c>
      <c r="D310" s="4">
        <v>45844</v>
      </c>
      <c r="E310" s="1">
        <v>1294.26</v>
      </c>
      <c r="F310" t="s">
        <v>3</v>
      </c>
      <c r="G310">
        <f t="shared" si="8"/>
        <v>30</v>
      </c>
      <c r="H310">
        <f t="shared" ca="1" si="9"/>
        <v>0</v>
      </c>
      <c r="I31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11" spans="1:9" x14ac:dyDescent="0.35">
      <c r="A311" t="s">
        <v>317</v>
      </c>
      <c r="B311" t="s">
        <v>7</v>
      </c>
      <c r="C311" s="4">
        <v>46205</v>
      </c>
      <c r="D311" s="4">
        <v>46235</v>
      </c>
      <c r="E311" s="1">
        <v>32119.41</v>
      </c>
      <c r="F311" t="s">
        <v>3</v>
      </c>
      <c r="G311">
        <f t="shared" si="8"/>
        <v>30</v>
      </c>
      <c r="H311">
        <f t="shared" ca="1" si="9"/>
        <v>0</v>
      </c>
      <c r="I31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12" spans="1:9" x14ac:dyDescent="0.35">
      <c r="A312" t="s">
        <v>318</v>
      </c>
      <c r="B312" t="s">
        <v>9</v>
      </c>
      <c r="C312" s="4">
        <v>45838</v>
      </c>
      <c r="D312" s="4">
        <v>45868</v>
      </c>
      <c r="E312" s="1">
        <v>34348.71</v>
      </c>
      <c r="F312" t="s">
        <v>3</v>
      </c>
      <c r="G312">
        <f t="shared" si="8"/>
        <v>30</v>
      </c>
      <c r="H312">
        <f t="shared" ca="1" si="9"/>
        <v>0</v>
      </c>
      <c r="I31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13" spans="1:9" x14ac:dyDescent="0.35">
      <c r="A313" t="s">
        <v>319</v>
      </c>
      <c r="B313" t="s">
        <v>9</v>
      </c>
      <c r="C313" s="4">
        <v>45554</v>
      </c>
      <c r="D313" s="4">
        <v>45584</v>
      </c>
      <c r="E313" s="1">
        <v>14118.2</v>
      </c>
      <c r="F313" t="s">
        <v>3</v>
      </c>
      <c r="G313">
        <f t="shared" si="8"/>
        <v>30</v>
      </c>
      <c r="H313">
        <f t="shared" ca="1" si="9"/>
        <v>0</v>
      </c>
      <c r="I31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14" spans="1:9" x14ac:dyDescent="0.35">
      <c r="A314" t="s">
        <v>320</v>
      </c>
      <c r="B314" t="s">
        <v>5</v>
      </c>
      <c r="C314" s="4">
        <v>45482</v>
      </c>
      <c r="D314" s="4">
        <v>45512</v>
      </c>
      <c r="E314" s="1">
        <v>31816.47</v>
      </c>
      <c r="F314" t="s">
        <v>3</v>
      </c>
      <c r="G314">
        <f t="shared" si="8"/>
        <v>30</v>
      </c>
      <c r="H314">
        <f t="shared" ca="1" si="9"/>
        <v>0</v>
      </c>
      <c r="I31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15" spans="1:9" x14ac:dyDescent="0.35">
      <c r="A315" t="s">
        <v>321</v>
      </c>
      <c r="B315" t="s">
        <v>5</v>
      </c>
      <c r="C315" s="4">
        <v>45680</v>
      </c>
      <c r="D315" s="4">
        <v>45710</v>
      </c>
      <c r="E315" s="1">
        <v>17127.849999999999</v>
      </c>
      <c r="F315" t="s">
        <v>3</v>
      </c>
      <c r="G315">
        <f t="shared" si="8"/>
        <v>30</v>
      </c>
      <c r="H315">
        <f t="shared" ca="1" si="9"/>
        <v>0</v>
      </c>
      <c r="I31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16" spans="1:9" x14ac:dyDescent="0.35">
      <c r="A316" t="s">
        <v>322</v>
      </c>
      <c r="B316" t="s">
        <v>5</v>
      </c>
      <c r="C316" s="4">
        <v>45465</v>
      </c>
      <c r="D316" s="4">
        <v>45495</v>
      </c>
      <c r="E316" s="1">
        <v>25027.57</v>
      </c>
      <c r="F316" t="s">
        <v>3</v>
      </c>
      <c r="G316">
        <f t="shared" si="8"/>
        <v>30</v>
      </c>
      <c r="H316">
        <f t="shared" ca="1" si="9"/>
        <v>0</v>
      </c>
      <c r="I31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17" spans="1:9" x14ac:dyDescent="0.35">
      <c r="A317" t="s">
        <v>323</v>
      </c>
      <c r="B317" t="s">
        <v>7</v>
      </c>
      <c r="C317" s="4">
        <v>45863</v>
      </c>
      <c r="D317" s="4">
        <v>45893</v>
      </c>
      <c r="E317" s="1">
        <v>21121.13</v>
      </c>
      <c r="F317" t="s">
        <v>18</v>
      </c>
      <c r="G317">
        <f t="shared" si="8"/>
        <v>30</v>
      </c>
      <c r="H317">
        <f t="shared" ca="1" si="9"/>
        <v>395</v>
      </c>
      <c r="I317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318" spans="1:9" x14ac:dyDescent="0.35">
      <c r="A318" t="s">
        <v>324</v>
      </c>
      <c r="B318" t="s">
        <v>2</v>
      </c>
      <c r="C318" s="4">
        <v>45940</v>
      </c>
      <c r="D318" s="4">
        <v>45970</v>
      </c>
      <c r="E318" s="1">
        <v>24128.59</v>
      </c>
      <c r="F318" t="s">
        <v>3</v>
      </c>
      <c r="G318">
        <f t="shared" si="8"/>
        <v>30</v>
      </c>
      <c r="H318">
        <f t="shared" ca="1" si="9"/>
        <v>0</v>
      </c>
      <c r="I31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19" spans="1:9" x14ac:dyDescent="0.35">
      <c r="A319" t="s">
        <v>325</v>
      </c>
      <c r="B319" t="s">
        <v>2</v>
      </c>
      <c r="C319" s="4">
        <v>45524</v>
      </c>
      <c r="D319" s="4">
        <v>45554</v>
      </c>
      <c r="E319" s="1">
        <v>5190.3100000000004</v>
      </c>
      <c r="F319" t="s">
        <v>3</v>
      </c>
      <c r="G319">
        <f t="shared" si="8"/>
        <v>30</v>
      </c>
      <c r="H319">
        <f t="shared" ca="1" si="9"/>
        <v>0</v>
      </c>
      <c r="I31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20" spans="1:9" x14ac:dyDescent="0.35">
      <c r="A320" t="s">
        <v>326</v>
      </c>
      <c r="B320" t="s">
        <v>7</v>
      </c>
      <c r="C320" s="4">
        <v>45477</v>
      </c>
      <c r="D320" s="4">
        <v>45507</v>
      </c>
      <c r="E320" s="1">
        <v>39774.86</v>
      </c>
      <c r="F320" t="s">
        <v>3</v>
      </c>
      <c r="G320">
        <f t="shared" si="8"/>
        <v>30</v>
      </c>
      <c r="H320">
        <f t="shared" ca="1" si="9"/>
        <v>0</v>
      </c>
      <c r="I32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21" spans="1:9" x14ac:dyDescent="0.35">
      <c r="A321" t="s">
        <v>327</v>
      </c>
      <c r="B321" t="s">
        <v>5</v>
      </c>
      <c r="C321" s="4">
        <v>46068</v>
      </c>
      <c r="D321" s="4">
        <v>46098</v>
      </c>
      <c r="E321" s="1">
        <v>44200.74</v>
      </c>
      <c r="F321" t="s">
        <v>3</v>
      </c>
      <c r="G321">
        <f t="shared" si="8"/>
        <v>30</v>
      </c>
      <c r="H321">
        <f t="shared" ca="1" si="9"/>
        <v>0</v>
      </c>
      <c r="I32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22" spans="1:9" x14ac:dyDescent="0.35">
      <c r="A322" t="s">
        <v>328</v>
      </c>
      <c r="B322" t="s">
        <v>7</v>
      </c>
      <c r="C322" s="4">
        <v>45662</v>
      </c>
      <c r="D322" s="4">
        <v>45692</v>
      </c>
      <c r="E322" s="1">
        <v>43234.48</v>
      </c>
      <c r="F322" t="s">
        <v>18</v>
      </c>
      <c r="G322">
        <f t="shared" ref="G322:G385" si="10">D322-C322</f>
        <v>30</v>
      </c>
      <c r="H322">
        <f t="shared" ref="H322:H385" ca="1" si="11">IF(F322="Unpaid", TODAY() - D322, 0)</f>
        <v>596</v>
      </c>
      <c r="I322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323" spans="1:9" x14ac:dyDescent="0.35">
      <c r="A323" t="s">
        <v>329</v>
      </c>
      <c r="B323" t="s">
        <v>7</v>
      </c>
      <c r="C323" s="4">
        <v>45105</v>
      </c>
      <c r="D323" s="4">
        <v>45135</v>
      </c>
      <c r="E323" s="1">
        <v>43617.73</v>
      </c>
      <c r="F323" t="s">
        <v>3</v>
      </c>
      <c r="G323">
        <f t="shared" si="10"/>
        <v>30</v>
      </c>
      <c r="H323">
        <f t="shared" ca="1" si="11"/>
        <v>0</v>
      </c>
      <c r="I32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24" spans="1:9" x14ac:dyDescent="0.35">
      <c r="A324" t="s">
        <v>330</v>
      </c>
      <c r="B324" t="s">
        <v>9</v>
      </c>
      <c r="C324" s="4">
        <v>45626</v>
      </c>
      <c r="D324" s="4">
        <v>45656</v>
      </c>
      <c r="E324" s="1">
        <v>26256.78</v>
      </c>
      <c r="F324" t="s">
        <v>3</v>
      </c>
      <c r="G324">
        <f t="shared" si="10"/>
        <v>30</v>
      </c>
      <c r="H324">
        <f t="shared" ca="1" si="11"/>
        <v>0</v>
      </c>
      <c r="I32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25" spans="1:9" x14ac:dyDescent="0.35">
      <c r="A325" t="s">
        <v>331</v>
      </c>
      <c r="B325" t="s">
        <v>7</v>
      </c>
      <c r="C325" s="4">
        <v>45995</v>
      </c>
      <c r="D325" s="4">
        <v>46025</v>
      </c>
      <c r="E325" s="1">
        <v>33215.379999999997</v>
      </c>
      <c r="F325" t="s">
        <v>3</v>
      </c>
      <c r="G325">
        <f t="shared" si="10"/>
        <v>30</v>
      </c>
      <c r="H325">
        <f t="shared" ca="1" si="11"/>
        <v>0</v>
      </c>
      <c r="I32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26" spans="1:9" x14ac:dyDescent="0.35">
      <c r="A326" t="s">
        <v>332</v>
      </c>
      <c r="B326" t="s">
        <v>9</v>
      </c>
      <c r="C326" s="4">
        <v>45322</v>
      </c>
      <c r="D326" s="4">
        <v>45352</v>
      </c>
      <c r="E326" s="1">
        <v>24330.42</v>
      </c>
      <c r="F326" t="s">
        <v>3</v>
      </c>
      <c r="G326">
        <f t="shared" si="10"/>
        <v>30</v>
      </c>
      <c r="H326">
        <f t="shared" ca="1" si="11"/>
        <v>0</v>
      </c>
      <c r="I32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27" spans="1:9" x14ac:dyDescent="0.35">
      <c r="A327" t="s">
        <v>333</v>
      </c>
      <c r="B327" t="s">
        <v>2</v>
      </c>
      <c r="C327" s="4">
        <v>45274</v>
      </c>
      <c r="D327" s="4">
        <v>45304</v>
      </c>
      <c r="E327" s="1">
        <v>20671.39</v>
      </c>
      <c r="F327" t="s">
        <v>3</v>
      </c>
      <c r="G327">
        <f t="shared" si="10"/>
        <v>30</v>
      </c>
      <c r="H327">
        <f t="shared" ca="1" si="11"/>
        <v>0</v>
      </c>
      <c r="I32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28" spans="1:9" x14ac:dyDescent="0.35">
      <c r="A328" t="s">
        <v>334</v>
      </c>
      <c r="B328" t="s">
        <v>5</v>
      </c>
      <c r="C328" s="4">
        <v>45427</v>
      </c>
      <c r="D328" s="4">
        <v>45457</v>
      </c>
      <c r="E328" s="1">
        <v>45004.68</v>
      </c>
      <c r="F328" t="s">
        <v>3</v>
      </c>
      <c r="G328">
        <f t="shared" si="10"/>
        <v>30</v>
      </c>
      <c r="H328">
        <f t="shared" ca="1" si="11"/>
        <v>0</v>
      </c>
      <c r="I32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29" spans="1:9" x14ac:dyDescent="0.35">
      <c r="A329" t="s">
        <v>335</v>
      </c>
      <c r="B329" t="s">
        <v>5</v>
      </c>
      <c r="C329" s="4">
        <v>45602</v>
      </c>
      <c r="D329" s="4">
        <v>45632</v>
      </c>
      <c r="E329" s="1">
        <v>31340.23</v>
      </c>
      <c r="F329" t="s">
        <v>3</v>
      </c>
      <c r="G329">
        <f t="shared" si="10"/>
        <v>30</v>
      </c>
      <c r="H329">
        <f t="shared" ca="1" si="11"/>
        <v>0</v>
      </c>
      <c r="I32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30" spans="1:9" x14ac:dyDescent="0.35">
      <c r="A330" t="s">
        <v>336</v>
      </c>
      <c r="B330" t="s">
        <v>2</v>
      </c>
      <c r="C330" s="4">
        <v>45531</v>
      </c>
      <c r="D330" s="4">
        <v>45561</v>
      </c>
      <c r="E330" s="1">
        <v>27154.67</v>
      </c>
      <c r="F330" t="s">
        <v>3</v>
      </c>
      <c r="G330">
        <f t="shared" si="10"/>
        <v>30</v>
      </c>
      <c r="H330">
        <f t="shared" ca="1" si="11"/>
        <v>0</v>
      </c>
      <c r="I33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31" spans="1:9" x14ac:dyDescent="0.35">
      <c r="A331" t="s">
        <v>337</v>
      </c>
      <c r="B331" t="s">
        <v>11</v>
      </c>
      <c r="C331" s="4">
        <v>45024</v>
      </c>
      <c r="D331" s="4">
        <v>45054</v>
      </c>
      <c r="E331" s="1">
        <v>26064.37</v>
      </c>
      <c r="F331" t="s">
        <v>3</v>
      </c>
      <c r="G331">
        <f t="shared" si="10"/>
        <v>30</v>
      </c>
      <c r="H331">
        <f t="shared" ca="1" si="11"/>
        <v>0</v>
      </c>
      <c r="I33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32" spans="1:9" x14ac:dyDescent="0.35">
      <c r="A332" t="s">
        <v>338</v>
      </c>
      <c r="B332" t="s">
        <v>2</v>
      </c>
      <c r="C332" s="4">
        <v>45208</v>
      </c>
      <c r="D332" s="4">
        <v>45238</v>
      </c>
      <c r="E332" s="1">
        <v>1321.69</v>
      </c>
      <c r="F332" t="s">
        <v>3</v>
      </c>
      <c r="G332">
        <f t="shared" si="10"/>
        <v>30</v>
      </c>
      <c r="H332">
        <f t="shared" ca="1" si="11"/>
        <v>0</v>
      </c>
      <c r="I33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33" spans="1:9" x14ac:dyDescent="0.35">
      <c r="A333" t="s">
        <v>339</v>
      </c>
      <c r="B333" t="s">
        <v>11</v>
      </c>
      <c r="C333" s="4">
        <v>45588</v>
      </c>
      <c r="D333" s="4">
        <v>45618</v>
      </c>
      <c r="E333" s="1">
        <v>15420.92</v>
      </c>
      <c r="F333" t="s">
        <v>3</v>
      </c>
      <c r="G333">
        <f t="shared" si="10"/>
        <v>30</v>
      </c>
      <c r="H333">
        <f t="shared" ca="1" si="11"/>
        <v>0</v>
      </c>
      <c r="I33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34" spans="1:9" x14ac:dyDescent="0.35">
      <c r="A334" t="s">
        <v>340</v>
      </c>
      <c r="B334" t="s">
        <v>11</v>
      </c>
      <c r="C334" s="4">
        <v>46260</v>
      </c>
      <c r="D334" s="4">
        <v>46290</v>
      </c>
      <c r="E334" s="1">
        <v>29672.42</v>
      </c>
      <c r="F334" t="s">
        <v>3</v>
      </c>
      <c r="G334">
        <f t="shared" si="10"/>
        <v>30</v>
      </c>
      <c r="H334">
        <f t="shared" ca="1" si="11"/>
        <v>0</v>
      </c>
      <c r="I33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35" spans="1:9" x14ac:dyDescent="0.35">
      <c r="A335" t="s">
        <v>341</v>
      </c>
      <c r="B335" t="s">
        <v>5</v>
      </c>
      <c r="C335" s="4">
        <v>45680</v>
      </c>
      <c r="D335" s="4">
        <v>45710</v>
      </c>
      <c r="E335" s="1">
        <v>32542.57</v>
      </c>
      <c r="F335" t="s">
        <v>18</v>
      </c>
      <c r="G335">
        <f t="shared" si="10"/>
        <v>30</v>
      </c>
      <c r="H335">
        <f t="shared" ca="1" si="11"/>
        <v>578</v>
      </c>
      <c r="I335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336" spans="1:9" x14ac:dyDescent="0.35">
      <c r="A336" t="s">
        <v>342</v>
      </c>
      <c r="B336" t="s">
        <v>5</v>
      </c>
      <c r="C336" s="4">
        <v>45374</v>
      </c>
      <c r="D336" s="4">
        <v>45404</v>
      </c>
      <c r="E336" s="1">
        <v>36555.160000000003</v>
      </c>
      <c r="F336" t="s">
        <v>3</v>
      </c>
      <c r="G336">
        <f t="shared" si="10"/>
        <v>30</v>
      </c>
      <c r="H336">
        <f t="shared" ca="1" si="11"/>
        <v>0</v>
      </c>
      <c r="I33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37" spans="1:9" x14ac:dyDescent="0.35">
      <c r="A337" t="s">
        <v>343</v>
      </c>
      <c r="B337" t="s">
        <v>9</v>
      </c>
      <c r="C337" s="4">
        <v>46108</v>
      </c>
      <c r="D337" s="4">
        <v>46138</v>
      </c>
      <c r="E337" s="1">
        <v>30022.2</v>
      </c>
      <c r="F337" t="s">
        <v>18</v>
      </c>
      <c r="G337">
        <f t="shared" si="10"/>
        <v>30</v>
      </c>
      <c r="H337">
        <f t="shared" ca="1" si="11"/>
        <v>150</v>
      </c>
      <c r="I337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338" spans="1:9" x14ac:dyDescent="0.35">
      <c r="A338" t="s">
        <v>344</v>
      </c>
      <c r="B338" t="s">
        <v>5</v>
      </c>
      <c r="C338" s="4">
        <v>45421</v>
      </c>
      <c r="D338" s="4">
        <v>45451</v>
      </c>
      <c r="E338" s="1">
        <v>24190.68</v>
      </c>
      <c r="F338" t="s">
        <v>3</v>
      </c>
      <c r="G338">
        <f t="shared" si="10"/>
        <v>30</v>
      </c>
      <c r="H338">
        <f t="shared" ca="1" si="11"/>
        <v>0</v>
      </c>
      <c r="I33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39" spans="1:9" x14ac:dyDescent="0.35">
      <c r="A339" t="s">
        <v>345</v>
      </c>
      <c r="B339" t="s">
        <v>5</v>
      </c>
      <c r="C339" s="4">
        <v>45351</v>
      </c>
      <c r="D339" s="4">
        <v>45381</v>
      </c>
      <c r="E339" s="1">
        <v>7234.02</v>
      </c>
      <c r="F339" t="s">
        <v>3</v>
      </c>
      <c r="G339">
        <f t="shared" si="10"/>
        <v>30</v>
      </c>
      <c r="H339">
        <f t="shared" ca="1" si="11"/>
        <v>0</v>
      </c>
      <c r="I33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40" spans="1:9" x14ac:dyDescent="0.35">
      <c r="A340" t="s">
        <v>346</v>
      </c>
      <c r="B340" t="s">
        <v>11</v>
      </c>
      <c r="C340" s="4">
        <v>46027</v>
      </c>
      <c r="D340" s="4">
        <v>46057</v>
      </c>
      <c r="E340" s="1">
        <v>31264.38</v>
      </c>
      <c r="F340" t="s">
        <v>3</v>
      </c>
      <c r="G340">
        <f t="shared" si="10"/>
        <v>30</v>
      </c>
      <c r="H340">
        <f t="shared" ca="1" si="11"/>
        <v>0</v>
      </c>
      <c r="I34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41" spans="1:9" x14ac:dyDescent="0.35">
      <c r="A341" t="s">
        <v>347</v>
      </c>
      <c r="B341" t="s">
        <v>11</v>
      </c>
      <c r="C341" s="4">
        <v>44943</v>
      </c>
      <c r="D341" s="4">
        <v>44973</v>
      </c>
      <c r="E341" s="1">
        <v>6820.53</v>
      </c>
      <c r="F341" t="s">
        <v>3</v>
      </c>
      <c r="G341">
        <f t="shared" si="10"/>
        <v>30</v>
      </c>
      <c r="H341">
        <f t="shared" ca="1" si="11"/>
        <v>0</v>
      </c>
      <c r="I34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42" spans="1:9" x14ac:dyDescent="0.35">
      <c r="A342" t="s">
        <v>348</v>
      </c>
      <c r="B342" t="s">
        <v>7</v>
      </c>
      <c r="C342" s="4">
        <v>46238</v>
      </c>
      <c r="D342" s="4">
        <v>46268</v>
      </c>
      <c r="E342" s="1">
        <v>1836.79</v>
      </c>
      <c r="F342" t="s">
        <v>3</v>
      </c>
      <c r="G342">
        <f t="shared" si="10"/>
        <v>30</v>
      </c>
      <c r="H342">
        <f t="shared" ca="1" si="11"/>
        <v>0</v>
      </c>
      <c r="I34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43" spans="1:9" x14ac:dyDescent="0.35">
      <c r="A343" t="s">
        <v>349</v>
      </c>
      <c r="B343" t="s">
        <v>11</v>
      </c>
      <c r="C343" s="4">
        <v>45822</v>
      </c>
      <c r="D343" s="4">
        <v>45852</v>
      </c>
      <c r="E343" s="1">
        <v>15327.78</v>
      </c>
      <c r="F343" t="s">
        <v>3</v>
      </c>
      <c r="G343">
        <f t="shared" si="10"/>
        <v>30</v>
      </c>
      <c r="H343">
        <f t="shared" ca="1" si="11"/>
        <v>0</v>
      </c>
      <c r="I34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44" spans="1:9" x14ac:dyDescent="0.35">
      <c r="A344" t="s">
        <v>350</v>
      </c>
      <c r="B344" t="s">
        <v>7</v>
      </c>
      <c r="C344" s="4">
        <v>45296</v>
      </c>
      <c r="D344" s="4">
        <v>45326</v>
      </c>
      <c r="E344" s="1">
        <v>24095.45</v>
      </c>
      <c r="F344" t="s">
        <v>3</v>
      </c>
      <c r="G344">
        <f t="shared" si="10"/>
        <v>30</v>
      </c>
      <c r="H344">
        <f t="shared" ca="1" si="11"/>
        <v>0</v>
      </c>
      <c r="I34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45" spans="1:9" x14ac:dyDescent="0.35">
      <c r="A345" t="s">
        <v>351</v>
      </c>
      <c r="B345" t="s">
        <v>11</v>
      </c>
      <c r="C345" s="4">
        <v>45337</v>
      </c>
      <c r="D345" s="4">
        <v>45367</v>
      </c>
      <c r="E345" s="1">
        <v>17154.47</v>
      </c>
      <c r="F345" t="s">
        <v>3</v>
      </c>
      <c r="G345">
        <f t="shared" si="10"/>
        <v>30</v>
      </c>
      <c r="H345">
        <f t="shared" ca="1" si="11"/>
        <v>0</v>
      </c>
      <c r="I34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46" spans="1:9" x14ac:dyDescent="0.35">
      <c r="A346" t="s">
        <v>352</v>
      </c>
      <c r="B346" t="s">
        <v>2</v>
      </c>
      <c r="C346" s="4">
        <v>45509</v>
      </c>
      <c r="D346" s="4">
        <v>45539</v>
      </c>
      <c r="E346" s="1">
        <v>29338.9</v>
      </c>
      <c r="F346" t="s">
        <v>3</v>
      </c>
      <c r="G346">
        <f t="shared" si="10"/>
        <v>30</v>
      </c>
      <c r="H346">
        <f t="shared" ca="1" si="11"/>
        <v>0</v>
      </c>
      <c r="I34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47" spans="1:9" x14ac:dyDescent="0.35">
      <c r="A347" t="s">
        <v>353</v>
      </c>
      <c r="B347" t="s">
        <v>9</v>
      </c>
      <c r="C347" s="4">
        <v>45627</v>
      </c>
      <c r="D347" s="4">
        <v>45657</v>
      </c>
      <c r="E347" s="1">
        <v>4640.2</v>
      </c>
      <c r="F347" t="s">
        <v>3</v>
      </c>
      <c r="G347">
        <f t="shared" si="10"/>
        <v>30</v>
      </c>
      <c r="H347">
        <f t="shared" ca="1" si="11"/>
        <v>0</v>
      </c>
      <c r="I34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48" spans="1:9" x14ac:dyDescent="0.35">
      <c r="A348" t="s">
        <v>354</v>
      </c>
      <c r="B348" t="s">
        <v>11</v>
      </c>
      <c r="C348" s="4">
        <v>45186</v>
      </c>
      <c r="D348" s="4">
        <v>45216</v>
      </c>
      <c r="E348" s="1">
        <v>49726.84</v>
      </c>
      <c r="F348" t="s">
        <v>3</v>
      </c>
      <c r="G348">
        <f t="shared" si="10"/>
        <v>30</v>
      </c>
      <c r="H348">
        <f t="shared" ca="1" si="11"/>
        <v>0</v>
      </c>
      <c r="I34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49" spans="1:9" x14ac:dyDescent="0.35">
      <c r="A349" t="s">
        <v>355</v>
      </c>
      <c r="B349" t="s">
        <v>9</v>
      </c>
      <c r="C349" s="4">
        <v>45709</v>
      </c>
      <c r="D349" s="4">
        <v>45739</v>
      </c>
      <c r="E349" s="1">
        <v>4094.31</v>
      </c>
      <c r="F349" t="s">
        <v>3</v>
      </c>
      <c r="G349">
        <f t="shared" si="10"/>
        <v>30</v>
      </c>
      <c r="H349">
        <f t="shared" ca="1" si="11"/>
        <v>0</v>
      </c>
      <c r="I34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50" spans="1:9" x14ac:dyDescent="0.35">
      <c r="A350" t="s">
        <v>356</v>
      </c>
      <c r="B350" t="s">
        <v>2</v>
      </c>
      <c r="C350" s="4">
        <v>45500</v>
      </c>
      <c r="D350" s="4">
        <v>45530</v>
      </c>
      <c r="E350" s="1">
        <v>5386.58</v>
      </c>
      <c r="F350" t="s">
        <v>3</v>
      </c>
      <c r="G350">
        <f t="shared" si="10"/>
        <v>30</v>
      </c>
      <c r="H350">
        <f t="shared" ca="1" si="11"/>
        <v>0</v>
      </c>
      <c r="I35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51" spans="1:9" x14ac:dyDescent="0.35">
      <c r="A351" t="s">
        <v>357</v>
      </c>
      <c r="B351" t="s">
        <v>11</v>
      </c>
      <c r="C351" s="4">
        <v>45364</v>
      </c>
      <c r="D351" s="4">
        <v>45394</v>
      </c>
      <c r="E351" s="1">
        <v>16054.56</v>
      </c>
      <c r="F351" t="s">
        <v>3</v>
      </c>
      <c r="G351">
        <f t="shared" si="10"/>
        <v>30</v>
      </c>
      <c r="H351">
        <f t="shared" ca="1" si="11"/>
        <v>0</v>
      </c>
      <c r="I35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52" spans="1:9" x14ac:dyDescent="0.35">
      <c r="A352" t="s">
        <v>358</v>
      </c>
      <c r="B352" t="s">
        <v>2</v>
      </c>
      <c r="C352" s="4">
        <v>45248</v>
      </c>
      <c r="D352" s="4">
        <v>45278</v>
      </c>
      <c r="E352" s="1">
        <v>49460.69</v>
      </c>
      <c r="F352" t="s">
        <v>3</v>
      </c>
      <c r="G352">
        <f t="shared" si="10"/>
        <v>30</v>
      </c>
      <c r="H352">
        <f t="shared" ca="1" si="11"/>
        <v>0</v>
      </c>
      <c r="I35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53" spans="1:9" x14ac:dyDescent="0.35">
      <c r="A353" t="s">
        <v>359</v>
      </c>
      <c r="B353" t="s">
        <v>11</v>
      </c>
      <c r="C353" s="4">
        <v>45099</v>
      </c>
      <c r="D353" s="4">
        <v>45129</v>
      </c>
      <c r="E353" s="1">
        <v>44358.83</v>
      </c>
      <c r="F353" t="s">
        <v>3</v>
      </c>
      <c r="G353">
        <f t="shared" si="10"/>
        <v>30</v>
      </c>
      <c r="H353">
        <f t="shared" ca="1" si="11"/>
        <v>0</v>
      </c>
      <c r="I35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54" spans="1:9" x14ac:dyDescent="0.35">
      <c r="A354" t="s">
        <v>360</v>
      </c>
      <c r="B354" t="s">
        <v>5</v>
      </c>
      <c r="C354" s="4">
        <v>44930</v>
      </c>
      <c r="D354" s="4">
        <v>44960</v>
      </c>
      <c r="E354" s="1">
        <v>6483.43</v>
      </c>
      <c r="F354" t="s">
        <v>18</v>
      </c>
      <c r="G354">
        <f t="shared" si="10"/>
        <v>30</v>
      </c>
      <c r="H354">
        <f t="shared" ca="1" si="11"/>
        <v>1328</v>
      </c>
      <c r="I354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355" spans="1:9" x14ac:dyDescent="0.35">
      <c r="A355" t="s">
        <v>361</v>
      </c>
      <c r="B355" t="s">
        <v>9</v>
      </c>
      <c r="C355" s="4">
        <v>45253</v>
      </c>
      <c r="D355" s="4">
        <v>45283</v>
      </c>
      <c r="E355" s="1">
        <v>17698.57</v>
      </c>
      <c r="F355" t="s">
        <v>3</v>
      </c>
      <c r="G355">
        <f t="shared" si="10"/>
        <v>30</v>
      </c>
      <c r="H355">
        <f t="shared" ca="1" si="11"/>
        <v>0</v>
      </c>
      <c r="I35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56" spans="1:9" x14ac:dyDescent="0.35">
      <c r="A356" t="s">
        <v>362</v>
      </c>
      <c r="B356" t="s">
        <v>7</v>
      </c>
      <c r="C356" s="4">
        <v>45047</v>
      </c>
      <c r="D356" s="4">
        <v>45077</v>
      </c>
      <c r="E356" s="1">
        <v>25729.8</v>
      </c>
      <c r="F356" t="s">
        <v>3</v>
      </c>
      <c r="G356">
        <f t="shared" si="10"/>
        <v>30</v>
      </c>
      <c r="H356">
        <f t="shared" ca="1" si="11"/>
        <v>0</v>
      </c>
      <c r="I35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57" spans="1:9" x14ac:dyDescent="0.35">
      <c r="A357" t="s">
        <v>363</v>
      </c>
      <c r="B357" t="s">
        <v>5</v>
      </c>
      <c r="C357" s="4">
        <v>44939</v>
      </c>
      <c r="D357" s="4">
        <v>44969</v>
      </c>
      <c r="E357" s="1">
        <v>42418.400000000001</v>
      </c>
      <c r="F357" t="s">
        <v>3</v>
      </c>
      <c r="G357">
        <f t="shared" si="10"/>
        <v>30</v>
      </c>
      <c r="H357">
        <f t="shared" ca="1" si="11"/>
        <v>0</v>
      </c>
      <c r="I35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58" spans="1:9" x14ac:dyDescent="0.35">
      <c r="A358" t="s">
        <v>364</v>
      </c>
      <c r="B358" t="s">
        <v>2</v>
      </c>
      <c r="C358" s="4">
        <v>45451</v>
      </c>
      <c r="D358" s="4">
        <v>45481</v>
      </c>
      <c r="E358" s="1">
        <v>12159.92</v>
      </c>
      <c r="F358" t="s">
        <v>3</v>
      </c>
      <c r="G358">
        <f t="shared" si="10"/>
        <v>30</v>
      </c>
      <c r="H358">
        <f t="shared" ca="1" si="11"/>
        <v>0</v>
      </c>
      <c r="I35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59" spans="1:9" x14ac:dyDescent="0.35">
      <c r="A359" t="s">
        <v>365</v>
      </c>
      <c r="B359" t="s">
        <v>2</v>
      </c>
      <c r="C359" s="4">
        <v>44943</v>
      </c>
      <c r="D359" s="4">
        <v>44973</v>
      </c>
      <c r="E359" s="1">
        <v>34495.9</v>
      </c>
      <c r="F359" t="s">
        <v>3</v>
      </c>
      <c r="G359">
        <f t="shared" si="10"/>
        <v>30</v>
      </c>
      <c r="H359">
        <f t="shared" ca="1" si="11"/>
        <v>0</v>
      </c>
      <c r="I35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60" spans="1:9" x14ac:dyDescent="0.35">
      <c r="A360" t="s">
        <v>366</v>
      </c>
      <c r="B360" t="s">
        <v>7</v>
      </c>
      <c r="C360" s="4">
        <v>45233</v>
      </c>
      <c r="D360" s="4">
        <v>45263</v>
      </c>
      <c r="E360" s="1">
        <v>26265.48</v>
      </c>
      <c r="F360" t="s">
        <v>3</v>
      </c>
      <c r="G360">
        <f t="shared" si="10"/>
        <v>30</v>
      </c>
      <c r="H360">
        <f t="shared" ca="1" si="11"/>
        <v>0</v>
      </c>
      <c r="I36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61" spans="1:9" x14ac:dyDescent="0.35">
      <c r="A361" t="s">
        <v>367</v>
      </c>
      <c r="B361" t="s">
        <v>5</v>
      </c>
      <c r="C361" s="4">
        <v>45678</v>
      </c>
      <c r="D361" s="4">
        <v>45708</v>
      </c>
      <c r="E361" s="1">
        <v>31795.18</v>
      </c>
      <c r="F361" t="s">
        <v>3</v>
      </c>
      <c r="G361">
        <f t="shared" si="10"/>
        <v>30</v>
      </c>
      <c r="H361">
        <f t="shared" ca="1" si="11"/>
        <v>0</v>
      </c>
      <c r="I36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62" spans="1:9" x14ac:dyDescent="0.35">
      <c r="A362" t="s">
        <v>368</v>
      </c>
      <c r="B362" t="s">
        <v>11</v>
      </c>
      <c r="C362" s="4">
        <v>46262</v>
      </c>
      <c r="D362" s="4">
        <v>46292</v>
      </c>
      <c r="E362" s="1">
        <v>47665.61</v>
      </c>
      <c r="F362" t="s">
        <v>3</v>
      </c>
      <c r="G362">
        <f t="shared" si="10"/>
        <v>30</v>
      </c>
      <c r="H362">
        <f t="shared" ca="1" si="11"/>
        <v>0</v>
      </c>
      <c r="I36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63" spans="1:9" x14ac:dyDescent="0.35">
      <c r="A363" t="s">
        <v>369</v>
      </c>
      <c r="B363" t="s">
        <v>11</v>
      </c>
      <c r="C363" s="4">
        <v>45390</v>
      </c>
      <c r="D363" s="4">
        <v>45420</v>
      </c>
      <c r="E363" s="1">
        <v>45672.62</v>
      </c>
      <c r="F363" t="s">
        <v>3</v>
      </c>
      <c r="G363">
        <f t="shared" si="10"/>
        <v>30</v>
      </c>
      <c r="H363">
        <f t="shared" ca="1" si="11"/>
        <v>0</v>
      </c>
      <c r="I36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64" spans="1:9" x14ac:dyDescent="0.35">
      <c r="A364" t="s">
        <v>370</v>
      </c>
      <c r="B364" t="s">
        <v>7</v>
      </c>
      <c r="C364" s="4">
        <v>45194</v>
      </c>
      <c r="D364" s="4">
        <v>45224</v>
      </c>
      <c r="E364" s="1">
        <v>10207.93</v>
      </c>
      <c r="F364" t="s">
        <v>18</v>
      </c>
      <c r="G364">
        <f t="shared" si="10"/>
        <v>30</v>
      </c>
      <c r="H364">
        <f t="shared" ca="1" si="11"/>
        <v>1064</v>
      </c>
      <c r="I364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365" spans="1:9" x14ac:dyDescent="0.35">
      <c r="A365" t="s">
        <v>371</v>
      </c>
      <c r="B365" t="s">
        <v>11</v>
      </c>
      <c r="C365" s="4">
        <v>46059</v>
      </c>
      <c r="D365" s="4">
        <v>46089</v>
      </c>
      <c r="E365" s="1">
        <v>45509.69</v>
      </c>
      <c r="F365" t="s">
        <v>3</v>
      </c>
      <c r="G365">
        <f t="shared" si="10"/>
        <v>30</v>
      </c>
      <c r="H365">
        <f t="shared" ca="1" si="11"/>
        <v>0</v>
      </c>
      <c r="I36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66" spans="1:9" x14ac:dyDescent="0.35">
      <c r="A366" t="s">
        <v>372</v>
      </c>
      <c r="B366" t="s">
        <v>11</v>
      </c>
      <c r="C366" s="4">
        <v>45720</v>
      </c>
      <c r="D366" s="4">
        <v>45750</v>
      </c>
      <c r="E366" s="1">
        <v>39813.22</v>
      </c>
      <c r="F366" t="s">
        <v>3</v>
      </c>
      <c r="G366">
        <f t="shared" si="10"/>
        <v>30</v>
      </c>
      <c r="H366">
        <f t="shared" ca="1" si="11"/>
        <v>0</v>
      </c>
      <c r="I36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67" spans="1:9" x14ac:dyDescent="0.35">
      <c r="A367" t="s">
        <v>373</v>
      </c>
      <c r="B367" t="s">
        <v>9</v>
      </c>
      <c r="C367" s="4">
        <v>45532</v>
      </c>
      <c r="D367" s="4">
        <v>45562</v>
      </c>
      <c r="E367" s="1">
        <v>15122.92</v>
      </c>
      <c r="F367" t="s">
        <v>3</v>
      </c>
      <c r="G367">
        <f t="shared" si="10"/>
        <v>30</v>
      </c>
      <c r="H367">
        <f t="shared" ca="1" si="11"/>
        <v>0</v>
      </c>
      <c r="I36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68" spans="1:9" x14ac:dyDescent="0.35">
      <c r="A368" t="s">
        <v>374</v>
      </c>
      <c r="B368" t="s">
        <v>2</v>
      </c>
      <c r="C368" s="4">
        <v>45020</v>
      </c>
      <c r="D368" s="4">
        <v>45050</v>
      </c>
      <c r="E368" s="1">
        <v>47696.37</v>
      </c>
      <c r="F368" t="s">
        <v>3</v>
      </c>
      <c r="G368">
        <f t="shared" si="10"/>
        <v>30</v>
      </c>
      <c r="H368">
        <f t="shared" ca="1" si="11"/>
        <v>0</v>
      </c>
      <c r="I36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69" spans="1:9" x14ac:dyDescent="0.35">
      <c r="A369" t="s">
        <v>375</v>
      </c>
      <c r="B369" t="s">
        <v>9</v>
      </c>
      <c r="C369" s="4">
        <v>45170</v>
      </c>
      <c r="D369" s="4">
        <v>45200</v>
      </c>
      <c r="E369" s="1">
        <v>48506.16</v>
      </c>
      <c r="F369" t="s">
        <v>3</v>
      </c>
      <c r="G369">
        <f t="shared" si="10"/>
        <v>30</v>
      </c>
      <c r="H369">
        <f t="shared" ca="1" si="11"/>
        <v>0</v>
      </c>
      <c r="I36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70" spans="1:9" x14ac:dyDescent="0.35">
      <c r="A370" t="s">
        <v>376</v>
      </c>
      <c r="B370" t="s">
        <v>11</v>
      </c>
      <c r="C370" s="4">
        <v>45357</v>
      </c>
      <c r="D370" s="4">
        <v>45387</v>
      </c>
      <c r="E370" s="1">
        <v>13320.7</v>
      </c>
      <c r="F370" t="s">
        <v>18</v>
      </c>
      <c r="G370">
        <f t="shared" si="10"/>
        <v>30</v>
      </c>
      <c r="H370">
        <f t="shared" ca="1" si="11"/>
        <v>901</v>
      </c>
      <c r="I370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371" spans="1:9" x14ac:dyDescent="0.35">
      <c r="A371" t="s">
        <v>377</v>
      </c>
      <c r="B371" t="s">
        <v>11</v>
      </c>
      <c r="C371" s="4">
        <v>45713</v>
      </c>
      <c r="D371" s="4">
        <v>45743</v>
      </c>
      <c r="E371" s="1">
        <v>34835.589999999997</v>
      </c>
      <c r="F371" t="s">
        <v>3</v>
      </c>
      <c r="G371">
        <f t="shared" si="10"/>
        <v>30</v>
      </c>
      <c r="H371">
        <f t="shared" ca="1" si="11"/>
        <v>0</v>
      </c>
      <c r="I37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72" spans="1:9" x14ac:dyDescent="0.35">
      <c r="A372" t="s">
        <v>378</v>
      </c>
      <c r="B372" t="s">
        <v>11</v>
      </c>
      <c r="C372" s="4">
        <v>45663</v>
      </c>
      <c r="D372" s="4">
        <v>45693</v>
      </c>
      <c r="E372" s="1">
        <v>5286.1</v>
      </c>
      <c r="F372" t="s">
        <v>3</v>
      </c>
      <c r="G372">
        <f t="shared" si="10"/>
        <v>30</v>
      </c>
      <c r="H372">
        <f t="shared" ca="1" si="11"/>
        <v>0</v>
      </c>
      <c r="I37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73" spans="1:9" x14ac:dyDescent="0.35">
      <c r="A373" t="s">
        <v>379</v>
      </c>
      <c r="B373" t="s">
        <v>11</v>
      </c>
      <c r="C373" s="4">
        <v>45909</v>
      </c>
      <c r="D373" s="4">
        <v>45939</v>
      </c>
      <c r="E373" s="1">
        <v>11960.74</v>
      </c>
      <c r="F373" t="s">
        <v>18</v>
      </c>
      <c r="G373">
        <f t="shared" si="10"/>
        <v>30</v>
      </c>
      <c r="H373">
        <f t="shared" ca="1" si="11"/>
        <v>349</v>
      </c>
      <c r="I373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374" spans="1:9" x14ac:dyDescent="0.35">
      <c r="A374" t="s">
        <v>380</v>
      </c>
      <c r="B374" t="s">
        <v>9</v>
      </c>
      <c r="C374" s="4">
        <v>45868</v>
      </c>
      <c r="D374" s="4">
        <v>45898</v>
      </c>
      <c r="E374" s="1">
        <v>47635.519999999997</v>
      </c>
      <c r="F374" t="s">
        <v>3</v>
      </c>
      <c r="G374">
        <f t="shared" si="10"/>
        <v>30</v>
      </c>
      <c r="H374">
        <f t="shared" ca="1" si="11"/>
        <v>0</v>
      </c>
      <c r="I37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75" spans="1:9" x14ac:dyDescent="0.35">
      <c r="A375" t="s">
        <v>381</v>
      </c>
      <c r="B375" t="s">
        <v>11</v>
      </c>
      <c r="C375" s="4">
        <v>46225</v>
      </c>
      <c r="D375" s="4">
        <v>46255</v>
      </c>
      <c r="E375" s="1">
        <v>31260.69</v>
      </c>
      <c r="F375" t="s">
        <v>18</v>
      </c>
      <c r="G375">
        <f t="shared" si="10"/>
        <v>30</v>
      </c>
      <c r="H375">
        <f t="shared" ca="1" si="11"/>
        <v>33</v>
      </c>
      <c r="I375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31-60 days</v>
      </c>
    </row>
    <row r="376" spans="1:9" x14ac:dyDescent="0.35">
      <c r="A376" t="s">
        <v>382</v>
      </c>
      <c r="B376" t="s">
        <v>7</v>
      </c>
      <c r="C376" s="4">
        <v>45444</v>
      </c>
      <c r="D376" s="4">
        <v>45474</v>
      </c>
      <c r="E376" s="1">
        <v>27161.9</v>
      </c>
      <c r="F376" t="s">
        <v>3</v>
      </c>
      <c r="G376">
        <f t="shared" si="10"/>
        <v>30</v>
      </c>
      <c r="H376">
        <f t="shared" ca="1" si="11"/>
        <v>0</v>
      </c>
      <c r="I37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77" spans="1:9" x14ac:dyDescent="0.35">
      <c r="A377" t="s">
        <v>383</v>
      </c>
      <c r="B377" t="s">
        <v>2</v>
      </c>
      <c r="C377" s="4">
        <v>45881</v>
      </c>
      <c r="D377" s="4">
        <v>45911</v>
      </c>
      <c r="E377" s="1">
        <v>40028.44</v>
      </c>
      <c r="F377" t="s">
        <v>3</v>
      </c>
      <c r="G377">
        <f t="shared" si="10"/>
        <v>30</v>
      </c>
      <c r="H377">
        <f t="shared" ca="1" si="11"/>
        <v>0</v>
      </c>
      <c r="I37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78" spans="1:9" x14ac:dyDescent="0.35">
      <c r="A378" t="s">
        <v>384</v>
      </c>
      <c r="B378" t="s">
        <v>7</v>
      </c>
      <c r="C378" s="4">
        <v>45585</v>
      </c>
      <c r="D378" s="4">
        <v>45615</v>
      </c>
      <c r="E378" s="1">
        <v>44113.96</v>
      </c>
      <c r="F378" t="s">
        <v>3</v>
      </c>
      <c r="G378">
        <f t="shared" si="10"/>
        <v>30</v>
      </c>
      <c r="H378">
        <f t="shared" ca="1" si="11"/>
        <v>0</v>
      </c>
      <c r="I37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79" spans="1:9" x14ac:dyDescent="0.35">
      <c r="A379" t="s">
        <v>385</v>
      </c>
      <c r="B379" t="s">
        <v>5</v>
      </c>
      <c r="C379" s="4">
        <v>45544</v>
      </c>
      <c r="D379" s="4">
        <v>45574</v>
      </c>
      <c r="E379" s="1">
        <v>1126.27</v>
      </c>
      <c r="F379" t="s">
        <v>3</v>
      </c>
      <c r="G379">
        <f t="shared" si="10"/>
        <v>30</v>
      </c>
      <c r="H379">
        <f t="shared" ca="1" si="11"/>
        <v>0</v>
      </c>
      <c r="I37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80" spans="1:9" x14ac:dyDescent="0.35">
      <c r="A380" t="s">
        <v>386</v>
      </c>
      <c r="B380" t="s">
        <v>5</v>
      </c>
      <c r="C380" s="4">
        <v>45768</v>
      </c>
      <c r="D380" s="4">
        <v>45798</v>
      </c>
      <c r="E380" s="1">
        <v>4492.08</v>
      </c>
      <c r="F380" t="s">
        <v>18</v>
      </c>
      <c r="G380">
        <f t="shared" si="10"/>
        <v>30</v>
      </c>
      <c r="H380">
        <f t="shared" ca="1" si="11"/>
        <v>490</v>
      </c>
      <c r="I380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381" spans="1:9" x14ac:dyDescent="0.35">
      <c r="A381" t="s">
        <v>387</v>
      </c>
      <c r="B381" t="s">
        <v>5</v>
      </c>
      <c r="C381" s="4">
        <v>46158</v>
      </c>
      <c r="D381" s="4">
        <v>46188</v>
      </c>
      <c r="E381" s="1">
        <v>7021.27</v>
      </c>
      <c r="F381" t="s">
        <v>3</v>
      </c>
      <c r="G381">
        <f t="shared" si="10"/>
        <v>30</v>
      </c>
      <c r="H381">
        <f t="shared" ca="1" si="11"/>
        <v>0</v>
      </c>
      <c r="I38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82" spans="1:9" x14ac:dyDescent="0.35">
      <c r="A382" t="s">
        <v>388</v>
      </c>
      <c r="B382" t="s">
        <v>11</v>
      </c>
      <c r="C382" s="4">
        <v>45013</v>
      </c>
      <c r="D382" s="4">
        <v>45043</v>
      </c>
      <c r="E382" s="1">
        <v>19320.73</v>
      </c>
      <c r="F382" t="s">
        <v>3</v>
      </c>
      <c r="G382">
        <f t="shared" si="10"/>
        <v>30</v>
      </c>
      <c r="H382">
        <f t="shared" ca="1" si="11"/>
        <v>0</v>
      </c>
      <c r="I38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83" spans="1:9" x14ac:dyDescent="0.35">
      <c r="A383" t="s">
        <v>389</v>
      </c>
      <c r="B383" t="s">
        <v>2</v>
      </c>
      <c r="C383" s="4">
        <v>46233</v>
      </c>
      <c r="D383" s="4">
        <v>46263</v>
      </c>
      <c r="E383" s="1">
        <v>7688.86</v>
      </c>
      <c r="F383" t="s">
        <v>3</v>
      </c>
      <c r="G383">
        <f t="shared" si="10"/>
        <v>30</v>
      </c>
      <c r="H383">
        <f t="shared" ca="1" si="11"/>
        <v>0</v>
      </c>
      <c r="I38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84" spans="1:9" x14ac:dyDescent="0.35">
      <c r="A384" t="s">
        <v>390</v>
      </c>
      <c r="B384" t="s">
        <v>5</v>
      </c>
      <c r="C384" s="4">
        <v>45897</v>
      </c>
      <c r="D384" s="4">
        <v>45927</v>
      </c>
      <c r="E384" s="1">
        <v>16087.6</v>
      </c>
      <c r="F384" t="s">
        <v>18</v>
      </c>
      <c r="G384">
        <f t="shared" si="10"/>
        <v>30</v>
      </c>
      <c r="H384">
        <f t="shared" ca="1" si="11"/>
        <v>361</v>
      </c>
      <c r="I384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385" spans="1:9" x14ac:dyDescent="0.35">
      <c r="A385" t="s">
        <v>391</v>
      </c>
      <c r="B385" t="s">
        <v>11</v>
      </c>
      <c r="C385" s="4">
        <v>45546</v>
      </c>
      <c r="D385" s="4">
        <v>45576</v>
      </c>
      <c r="E385" s="1">
        <v>25765.14</v>
      </c>
      <c r="F385" t="s">
        <v>3</v>
      </c>
      <c r="G385">
        <f t="shared" si="10"/>
        <v>30</v>
      </c>
      <c r="H385">
        <f t="shared" ca="1" si="11"/>
        <v>0</v>
      </c>
      <c r="I38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86" spans="1:9" x14ac:dyDescent="0.35">
      <c r="A386" t="s">
        <v>392</v>
      </c>
      <c r="B386" t="s">
        <v>5</v>
      </c>
      <c r="C386" s="4">
        <v>45159</v>
      </c>
      <c r="D386" s="4">
        <v>45189</v>
      </c>
      <c r="E386" s="1">
        <v>7304.57</v>
      </c>
      <c r="F386" t="s">
        <v>18</v>
      </c>
      <c r="G386">
        <f t="shared" ref="G386:G449" si="12">D386-C386</f>
        <v>30</v>
      </c>
      <c r="H386">
        <f t="shared" ref="H386:H449" ca="1" si="13">IF(F386="Unpaid", TODAY() - D386, 0)</f>
        <v>1099</v>
      </c>
      <c r="I386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387" spans="1:9" x14ac:dyDescent="0.35">
      <c r="A387" t="s">
        <v>393</v>
      </c>
      <c r="B387" t="s">
        <v>9</v>
      </c>
      <c r="C387" s="4">
        <v>45679</v>
      </c>
      <c r="D387" s="4">
        <v>45709</v>
      </c>
      <c r="E387" s="1">
        <v>49560.08</v>
      </c>
      <c r="F387" t="s">
        <v>3</v>
      </c>
      <c r="G387">
        <f t="shared" si="12"/>
        <v>30</v>
      </c>
      <c r="H387">
        <f t="shared" ca="1" si="13"/>
        <v>0</v>
      </c>
      <c r="I38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88" spans="1:9" x14ac:dyDescent="0.35">
      <c r="A388" t="s">
        <v>394</v>
      </c>
      <c r="B388" t="s">
        <v>2</v>
      </c>
      <c r="C388" s="4">
        <v>46183</v>
      </c>
      <c r="D388" s="4">
        <v>46213</v>
      </c>
      <c r="E388" s="1">
        <v>20258.88</v>
      </c>
      <c r="F388" t="s">
        <v>3</v>
      </c>
      <c r="G388">
        <f t="shared" si="12"/>
        <v>30</v>
      </c>
      <c r="H388">
        <f t="shared" ca="1" si="13"/>
        <v>0</v>
      </c>
      <c r="I38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89" spans="1:9" x14ac:dyDescent="0.35">
      <c r="A389" t="s">
        <v>395</v>
      </c>
      <c r="B389" t="s">
        <v>2</v>
      </c>
      <c r="C389" s="4">
        <v>45056</v>
      </c>
      <c r="D389" s="4">
        <v>45086</v>
      </c>
      <c r="E389" s="1">
        <v>30306.16</v>
      </c>
      <c r="F389" t="s">
        <v>3</v>
      </c>
      <c r="G389">
        <f t="shared" si="12"/>
        <v>30</v>
      </c>
      <c r="H389">
        <f t="shared" ca="1" si="13"/>
        <v>0</v>
      </c>
      <c r="I38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90" spans="1:9" x14ac:dyDescent="0.35">
      <c r="A390" t="s">
        <v>396</v>
      </c>
      <c r="B390" t="s">
        <v>9</v>
      </c>
      <c r="C390" s="4">
        <v>45392</v>
      </c>
      <c r="D390" s="4">
        <v>45422</v>
      </c>
      <c r="E390" s="1">
        <v>4543.8599999999997</v>
      </c>
      <c r="F390" t="s">
        <v>3</v>
      </c>
      <c r="G390">
        <f t="shared" si="12"/>
        <v>30</v>
      </c>
      <c r="H390">
        <f t="shared" ca="1" si="13"/>
        <v>0</v>
      </c>
      <c r="I39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91" spans="1:9" x14ac:dyDescent="0.35">
      <c r="A391" t="s">
        <v>397</v>
      </c>
      <c r="B391" t="s">
        <v>7</v>
      </c>
      <c r="C391" s="4">
        <v>46195</v>
      </c>
      <c r="D391" s="4">
        <v>46225</v>
      </c>
      <c r="E391" s="1">
        <v>22517.38</v>
      </c>
      <c r="F391" t="s">
        <v>3</v>
      </c>
      <c r="G391">
        <f t="shared" si="12"/>
        <v>30</v>
      </c>
      <c r="H391">
        <f t="shared" ca="1" si="13"/>
        <v>0</v>
      </c>
      <c r="I39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92" spans="1:9" x14ac:dyDescent="0.35">
      <c r="A392" t="s">
        <v>398</v>
      </c>
      <c r="B392" t="s">
        <v>2</v>
      </c>
      <c r="C392" s="4">
        <v>45868</v>
      </c>
      <c r="D392" s="4">
        <v>45898</v>
      </c>
      <c r="E392" s="1">
        <v>27948.89</v>
      </c>
      <c r="F392" t="s">
        <v>3</v>
      </c>
      <c r="G392">
        <f t="shared" si="12"/>
        <v>30</v>
      </c>
      <c r="H392">
        <f t="shared" ca="1" si="13"/>
        <v>0</v>
      </c>
      <c r="I39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93" spans="1:9" x14ac:dyDescent="0.35">
      <c r="A393" t="s">
        <v>399</v>
      </c>
      <c r="B393" t="s">
        <v>5</v>
      </c>
      <c r="C393" s="4">
        <v>45368</v>
      </c>
      <c r="D393" s="4">
        <v>45398</v>
      </c>
      <c r="E393" s="1">
        <v>46018</v>
      </c>
      <c r="F393" t="s">
        <v>18</v>
      </c>
      <c r="G393">
        <f t="shared" si="12"/>
        <v>30</v>
      </c>
      <c r="H393">
        <f t="shared" ca="1" si="13"/>
        <v>890</v>
      </c>
      <c r="I393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394" spans="1:9" x14ac:dyDescent="0.35">
      <c r="A394" t="s">
        <v>400</v>
      </c>
      <c r="B394" t="s">
        <v>5</v>
      </c>
      <c r="C394" s="4">
        <v>45124</v>
      </c>
      <c r="D394" s="4">
        <v>45154</v>
      </c>
      <c r="E394" s="1">
        <v>35899.94</v>
      </c>
      <c r="F394" t="s">
        <v>18</v>
      </c>
      <c r="G394">
        <f t="shared" si="12"/>
        <v>30</v>
      </c>
      <c r="H394">
        <f t="shared" ca="1" si="13"/>
        <v>1134</v>
      </c>
      <c r="I394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395" spans="1:9" x14ac:dyDescent="0.35">
      <c r="A395" t="s">
        <v>401</v>
      </c>
      <c r="B395" t="s">
        <v>5</v>
      </c>
      <c r="C395" s="4">
        <v>46109</v>
      </c>
      <c r="D395" s="4">
        <v>46139</v>
      </c>
      <c r="E395" s="1">
        <v>18158.64</v>
      </c>
      <c r="F395" t="s">
        <v>3</v>
      </c>
      <c r="G395">
        <f t="shared" si="12"/>
        <v>30</v>
      </c>
      <c r="H395">
        <f t="shared" ca="1" si="13"/>
        <v>0</v>
      </c>
      <c r="I39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96" spans="1:9" x14ac:dyDescent="0.35">
      <c r="A396" t="s">
        <v>402</v>
      </c>
      <c r="B396" t="s">
        <v>9</v>
      </c>
      <c r="C396" s="4">
        <v>45227</v>
      </c>
      <c r="D396" s="4">
        <v>45257</v>
      </c>
      <c r="E396" s="1">
        <v>41359.660000000003</v>
      </c>
      <c r="F396" t="s">
        <v>3</v>
      </c>
      <c r="G396">
        <f t="shared" si="12"/>
        <v>30</v>
      </c>
      <c r="H396">
        <f t="shared" ca="1" si="13"/>
        <v>0</v>
      </c>
      <c r="I39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97" spans="1:9" x14ac:dyDescent="0.35">
      <c r="A397" t="s">
        <v>403</v>
      </c>
      <c r="B397" t="s">
        <v>5</v>
      </c>
      <c r="C397" s="4">
        <v>45434</v>
      </c>
      <c r="D397" s="4">
        <v>45464</v>
      </c>
      <c r="E397" s="1">
        <v>1099.8900000000001</v>
      </c>
      <c r="F397" t="s">
        <v>18</v>
      </c>
      <c r="G397">
        <f t="shared" si="12"/>
        <v>30</v>
      </c>
      <c r="H397">
        <f t="shared" ca="1" si="13"/>
        <v>824</v>
      </c>
      <c r="I397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398" spans="1:9" x14ac:dyDescent="0.35">
      <c r="A398" t="s">
        <v>404</v>
      </c>
      <c r="B398" t="s">
        <v>11</v>
      </c>
      <c r="C398" s="4">
        <v>45683</v>
      </c>
      <c r="D398" s="4">
        <v>45713</v>
      </c>
      <c r="E398" s="1">
        <v>42364.18</v>
      </c>
      <c r="F398" t="s">
        <v>3</v>
      </c>
      <c r="G398">
        <f t="shared" si="12"/>
        <v>30</v>
      </c>
      <c r="H398">
        <f t="shared" ca="1" si="13"/>
        <v>0</v>
      </c>
      <c r="I39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399" spans="1:9" x14ac:dyDescent="0.35">
      <c r="A399" t="s">
        <v>405</v>
      </c>
      <c r="B399" t="s">
        <v>2</v>
      </c>
      <c r="C399" s="4">
        <v>45765</v>
      </c>
      <c r="D399" s="4">
        <v>45795</v>
      </c>
      <c r="E399" s="1">
        <v>42114.69</v>
      </c>
      <c r="F399" t="s">
        <v>3</v>
      </c>
      <c r="G399">
        <f t="shared" si="12"/>
        <v>30</v>
      </c>
      <c r="H399">
        <f t="shared" ca="1" si="13"/>
        <v>0</v>
      </c>
      <c r="I39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00" spans="1:9" x14ac:dyDescent="0.35">
      <c r="A400" t="s">
        <v>406</v>
      </c>
      <c r="B400" t="s">
        <v>7</v>
      </c>
      <c r="C400" s="4">
        <v>45756</v>
      </c>
      <c r="D400" s="4">
        <v>45786</v>
      </c>
      <c r="E400" s="1">
        <v>16801.95</v>
      </c>
      <c r="F400" t="s">
        <v>3</v>
      </c>
      <c r="G400">
        <f t="shared" si="12"/>
        <v>30</v>
      </c>
      <c r="H400">
        <f t="shared" ca="1" si="13"/>
        <v>0</v>
      </c>
      <c r="I40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01" spans="1:9" x14ac:dyDescent="0.35">
      <c r="A401" t="s">
        <v>407</v>
      </c>
      <c r="B401" t="s">
        <v>9</v>
      </c>
      <c r="C401" s="4">
        <v>45200</v>
      </c>
      <c r="D401" s="4">
        <v>45230</v>
      </c>
      <c r="E401" s="1">
        <v>14767.95</v>
      </c>
      <c r="F401" t="s">
        <v>3</v>
      </c>
      <c r="G401">
        <f t="shared" si="12"/>
        <v>30</v>
      </c>
      <c r="H401">
        <f t="shared" ca="1" si="13"/>
        <v>0</v>
      </c>
      <c r="I40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02" spans="1:9" x14ac:dyDescent="0.35">
      <c r="A402" t="s">
        <v>408</v>
      </c>
      <c r="B402" t="s">
        <v>5</v>
      </c>
      <c r="C402" s="4">
        <v>45510</v>
      </c>
      <c r="D402" s="4">
        <v>45540</v>
      </c>
      <c r="E402" s="1">
        <v>24110.15</v>
      </c>
      <c r="F402" t="s">
        <v>3</v>
      </c>
      <c r="G402">
        <f t="shared" si="12"/>
        <v>30</v>
      </c>
      <c r="H402">
        <f t="shared" ca="1" si="13"/>
        <v>0</v>
      </c>
      <c r="I40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03" spans="1:9" x14ac:dyDescent="0.35">
      <c r="A403" t="s">
        <v>409</v>
      </c>
      <c r="B403" t="s">
        <v>5</v>
      </c>
      <c r="C403" s="4">
        <v>45461</v>
      </c>
      <c r="D403" s="4">
        <v>45491</v>
      </c>
      <c r="E403" s="1">
        <v>13248.08</v>
      </c>
      <c r="F403" t="s">
        <v>3</v>
      </c>
      <c r="G403">
        <f t="shared" si="12"/>
        <v>30</v>
      </c>
      <c r="H403">
        <f t="shared" ca="1" si="13"/>
        <v>0</v>
      </c>
      <c r="I40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04" spans="1:9" x14ac:dyDescent="0.35">
      <c r="A404" t="s">
        <v>410</v>
      </c>
      <c r="B404" t="s">
        <v>2</v>
      </c>
      <c r="C404" s="4">
        <v>45890</v>
      </c>
      <c r="D404" s="4">
        <v>45920</v>
      </c>
      <c r="E404" s="1">
        <v>43809.16</v>
      </c>
      <c r="F404" t="s">
        <v>3</v>
      </c>
      <c r="G404">
        <f t="shared" si="12"/>
        <v>30</v>
      </c>
      <c r="H404">
        <f t="shared" ca="1" si="13"/>
        <v>0</v>
      </c>
      <c r="I40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05" spans="1:9" x14ac:dyDescent="0.35">
      <c r="A405" t="s">
        <v>411</v>
      </c>
      <c r="B405" t="s">
        <v>2</v>
      </c>
      <c r="C405" s="4">
        <v>46100</v>
      </c>
      <c r="D405" s="4">
        <v>46130</v>
      </c>
      <c r="E405" s="1">
        <v>29141.08</v>
      </c>
      <c r="F405" t="s">
        <v>3</v>
      </c>
      <c r="G405">
        <f t="shared" si="12"/>
        <v>30</v>
      </c>
      <c r="H405">
        <f t="shared" ca="1" si="13"/>
        <v>0</v>
      </c>
      <c r="I40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06" spans="1:9" x14ac:dyDescent="0.35">
      <c r="A406" t="s">
        <v>412</v>
      </c>
      <c r="B406" t="s">
        <v>11</v>
      </c>
      <c r="C406" s="4">
        <v>45719</v>
      </c>
      <c r="D406" s="4">
        <v>45749</v>
      </c>
      <c r="E406" s="1">
        <v>21271.11</v>
      </c>
      <c r="F406" t="s">
        <v>3</v>
      </c>
      <c r="G406">
        <f t="shared" si="12"/>
        <v>30</v>
      </c>
      <c r="H406">
        <f t="shared" ca="1" si="13"/>
        <v>0</v>
      </c>
      <c r="I40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07" spans="1:9" x14ac:dyDescent="0.35">
      <c r="A407" t="s">
        <v>413</v>
      </c>
      <c r="B407" t="s">
        <v>9</v>
      </c>
      <c r="C407" s="4">
        <v>46051</v>
      </c>
      <c r="D407" s="4">
        <v>46081</v>
      </c>
      <c r="E407" s="1">
        <v>8004.17</v>
      </c>
      <c r="F407" t="s">
        <v>3</v>
      </c>
      <c r="G407">
        <f t="shared" si="12"/>
        <v>30</v>
      </c>
      <c r="H407">
        <f t="shared" ca="1" si="13"/>
        <v>0</v>
      </c>
      <c r="I40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08" spans="1:9" x14ac:dyDescent="0.35">
      <c r="A408" t="s">
        <v>414</v>
      </c>
      <c r="B408" t="s">
        <v>7</v>
      </c>
      <c r="C408" s="4">
        <v>45815</v>
      </c>
      <c r="D408" s="4">
        <v>45845</v>
      </c>
      <c r="E408" s="1">
        <v>30120.83</v>
      </c>
      <c r="F408" t="s">
        <v>3</v>
      </c>
      <c r="G408">
        <f t="shared" si="12"/>
        <v>30</v>
      </c>
      <c r="H408">
        <f t="shared" ca="1" si="13"/>
        <v>0</v>
      </c>
      <c r="I40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09" spans="1:9" x14ac:dyDescent="0.35">
      <c r="A409" t="s">
        <v>415</v>
      </c>
      <c r="B409" t="s">
        <v>7</v>
      </c>
      <c r="C409" s="4">
        <v>45071</v>
      </c>
      <c r="D409" s="4">
        <v>45101</v>
      </c>
      <c r="E409" s="1">
        <v>17430.72</v>
      </c>
      <c r="F409" t="s">
        <v>3</v>
      </c>
      <c r="G409">
        <f t="shared" si="12"/>
        <v>30</v>
      </c>
      <c r="H409">
        <f t="shared" ca="1" si="13"/>
        <v>0</v>
      </c>
      <c r="I40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10" spans="1:9" x14ac:dyDescent="0.35">
      <c r="A410" t="s">
        <v>416</v>
      </c>
      <c r="B410" t="s">
        <v>7</v>
      </c>
      <c r="C410" s="4">
        <v>45410</v>
      </c>
      <c r="D410" s="4">
        <v>45440</v>
      </c>
      <c r="E410" s="1">
        <v>21193.95</v>
      </c>
      <c r="F410" t="s">
        <v>3</v>
      </c>
      <c r="G410">
        <f t="shared" si="12"/>
        <v>30</v>
      </c>
      <c r="H410">
        <f t="shared" ca="1" si="13"/>
        <v>0</v>
      </c>
      <c r="I41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11" spans="1:9" x14ac:dyDescent="0.35">
      <c r="A411" t="s">
        <v>417</v>
      </c>
      <c r="B411" t="s">
        <v>11</v>
      </c>
      <c r="C411" s="4">
        <v>45952</v>
      </c>
      <c r="D411" s="4">
        <v>45982</v>
      </c>
      <c r="E411" s="1">
        <v>4086.72</v>
      </c>
      <c r="F411" t="s">
        <v>3</v>
      </c>
      <c r="G411">
        <f t="shared" si="12"/>
        <v>30</v>
      </c>
      <c r="H411">
        <f t="shared" ca="1" si="13"/>
        <v>0</v>
      </c>
      <c r="I41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12" spans="1:9" x14ac:dyDescent="0.35">
      <c r="A412" t="s">
        <v>418</v>
      </c>
      <c r="B412" t="s">
        <v>7</v>
      </c>
      <c r="C412" s="4">
        <v>45113</v>
      </c>
      <c r="D412" s="4">
        <v>45143</v>
      </c>
      <c r="E412" s="1">
        <v>41036.29</v>
      </c>
      <c r="F412" t="s">
        <v>18</v>
      </c>
      <c r="G412">
        <f t="shared" si="12"/>
        <v>30</v>
      </c>
      <c r="H412">
        <f t="shared" ca="1" si="13"/>
        <v>1145</v>
      </c>
      <c r="I412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413" spans="1:9" x14ac:dyDescent="0.35">
      <c r="A413" t="s">
        <v>419</v>
      </c>
      <c r="B413" t="s">
        <v>7</v>
      </c>
      <c r="C413" s="4">
        <v>45564</v>
      </c>
      <c r="D413" s="4">
        <v>45594</v>
      </c>
      <c r="E413" s="1">
        <v>5576.8</v>
      </c>
      <c r="F413" t="s">
        <v>3</v>
      </c>
      <c r="G413">
        <f t="shared" si="12"/>
        <v>30</v>
      </c>
      <c r="H413">
        <f t="shared" ca="1" si="13"/>
        <v>0</v>
      </c>
      <c r="I41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14" spans="1:9" x14ac:dyDescent="0.35">
      <c r="A414" t="s">
        <v>420</v>
      </c>
      <c r="B414" t="s">
        <v>11</v>
      </c>
      <c r="C414" s="4">
        <v>45442</v>
      </c>
      <c r="D414" s="4">
        <v>45472</v>
      </c>
      <c r="E414" s="1">
        <v>21619.8</v>
      </c>
      <c r="F414" t="s">
        <v>18</v>
      </c>
      <c r="G414">
        <f t="shared" si="12"/>
        <v>30</v>
      </c>
      <c r="H414">
        <f t="shared" ca="1" si="13"/>
        <v>816</v>
      </c>
      <c r="I414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415" spans="1:9" x14ac:dyDescent="0.35">
      <c r="A415" t="s">
        <v>421</v>
      </c>
      <c r="B415" t="s">
        <v>11</v>
      </c>
      <c r="C415" s="4">
        <v>45069</v>
      </c>
      <c r="D415" s="4">
        <v>45099</v>
      </c>
      <c r="E415" s="1">
        <v>48849.15</v>
      </c>
      <c r="F415" t="s">
        <v>3</v>
      </c>
      <c r="G415">
        <f t="shared" si="12"/>
        <v>30</v>
      </c>
      <c r="H415">
        <f t="shared" ca="1" si="13"/>
        <v>0</v>
      </c>
      <c r="I41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16" spans="1:9" x14ac:dyDescent="0.35">
      <c r="A416" t="s">
        <v>422</v>
      </c>
      <c r="B416" t="s">
        <v>7</v>
      </c>
      <c r="C416" s="4">
        <v>45163</v>
      </c>
      <c r="D416" s="4">
        <v>45193</v>
      </c>
      <c r="E416" s="1">
        <v>21988.69</v>
      </c>
      <c r="F416" t="s">
        <v>3</v>
      </c>
      <c r="G416">
        <f t="shared" si="12"/>
        <v>30</v>
      </c>
      <c r="H416">
        <f t="shared" ca="1" si="13"/>
        <v>0</v>
      </c>
      <c r="I41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17" spans="1:9" x14ac:dyDescent="0.35">
      <c r="A417" t="s">
        <v>423</v>
      </c>
      <c r="B417" t="s">
        <v>11</v>
      </c>
      <c r="C417" s="4">
        <v>45044</v>
      </c>
      <c r="D417" s="4">
        <v>45074</v>
      </c>
      <c r="E417" s="1">
        <v>5808.78</v>
      </c>
      <c r="F417" t="s">
        <v>3</v>
      </c>
      <c r="G417">
        <f t="shared" si="12"/>
        <v>30</v>
      </c>
      <c r="H417">
        <f t="shared" ca="1" si="13"/>
        <v>0</v>
      </c>
      <c r="I41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18" spans="1:9" x14ac:dyDescent="0.35">
      <c r="A418" t="s">
        <v>424</v>
      </c>
      <c r="B418" t="s">
        <v>9</v>
      </c>
      <c r="C418" s="4">
        <v>45631</v>
      </c>
      <c r="D418" s="4">
        <v>45661</v>
      </c>
      <c r="E418" s="1">
        <v>45520.01</v>
      </c>
      <c r="F418" t="s">
        <v>3</v>
      </c>
      <c r="G418">
        <f t="shared" si="12"/>
        <v>30</v>
      </c>
      <c r="H418">
        <f t="shared" ca="1" si="13"/>
        <v>0</v>
      </c>
      <c r="I41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19" spans="1:9" x14ac:dyDescent="0.35">
      <c r="A419" t="s">
        <v>425</v>
      </c>
      <c r="B419" t="s">
        <v>7</v>
      </c>
      <c r="C419" s="4">
        <v>45324</v>
      </c>
      <c r="D419" s="4">
        <v>45354</v>
      </c>
      <c r="E419" s="1">
        <v>8266.27</v>
      </c>
      <c r="F419" t="s">
        <v>3</v>
      </c>
      <c r="G419">
        <f t="shared" si="12"/>
        <v>30</v>
      </c>
      <c r="H419">
        <f t="shared" ca="1" si="13"/>
        <v>0</v>
      </c>
      <c r="I41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20" spans="1:9" x14ac:dyDescent="0.35">
      <c r="A420" t="s">
        <v>426</v>
      </c>
      <c r="B420" t="s">
        <v>9</v>
      </c>
      <c r="C420" s="4">
        <v>46090</v>
      </c>
      <c r="D420" s="4">
        <v>46120</v>
      </c>
      <c r="E420" s="1">
        <v>24114.65</v>
      </c>
      <c r="F420" t="s">
        <v>3</v>
      </c>
      <c r="G420">
        <f t="shared" si="12"/>
        <v>30</v>
      </c>
      <c r="H420">
        <f t="shared" ca="1" si="13"/>
        <v>0</v>
      </c>
      <c r="I42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21" spans="1:9" x14ac:dyDescent="0.35">
      <c r="A421" t="s">
        <v>427</v>
      </c>
      <c r="B421" t="s">
        <v>9</v>
      </c>
      <c r="C421" s="4">
        <v>45296</v>
      </c>
      <c r="D421" s="4">
        <v>45326</v>
      </c>
      <c r="E421" s="1">
        <v>22034.47</v>
      </c>
      <c r="F421" t="s">
        <v>3</v>
      </c>
      <c r="G421">
        <f t="shared" si="12"/>
        <v>30</v>
      </c>
      <c r="H421">
        <f t="shared" ca="1" si="13"/>
        <v>0</v>
      </c>
      <c r="I42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22" spans="1:9" x14ac:dyDescent="0.35">
      <c r="A422" t="s">
        <v>428</v>
      </c>
      <c r="B422" t="s">
        <v>9</v>
      </c>
      <c r="C422" s="4">
        <v>45371</v>
      </c>
      <c r="D422" s="4">
        <v>45401</v>
      </c>
      <c r="E422" s="1">
        <v>15042.3</v>
      </c>
      <c r="F422" t="s">
        <v>18</v>
      </c>
      <c r="G422">
        <f t="shared" si="12"/>
        <v>30</v>
      </c>
      <c r="H422">
        <f t="shared" ca="1" si="13"/>
        <v>887</v>
      </c>
      <c r="I422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423" spans="1:9" x14ac:dyDescent="0.35">
      <c r="A423" t="s">
        <v>429</v>
      </c>
      <c r="B423" t="s">
        <v>7</v>
      </c>
      <c r="C423" s="4">
        <v>45771</v>
      </c>
      <c r="D423" s="4">
        <v>45801</v>
      </c>
      <c r="E423" s="1">
        <v>46765.26</v>
      </c>
      <c r="F423" t="s">
        <v>3</v>
      </c>
      <c r="G423">
        <f t="shared" si="12"/>
        <v>30</v>
      </c>
      <c r="H423">
        <f t="shared" ca="1" si="13"/>
        <v>0</v>
      </c>
      <c r="I42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24" spans="1:9" x14ac:dyDescent="0.35">
      <c r="A424" t="s">
        <v>430</v>
      </c>
      <c r="B424" t="s">
        <v>9</v>
      </c>
      <c r="C424" s="4">
        <v>45061</v>
      </c>
      <c r="D424" s="4">
        <v>45091</v>
      </c>
      <c r="E424" s="1">
        <v>28690.98</v>
      </c>
      <c r="F424" t="s">
        <v>3</v>
      </c>
      <c r="G424">
        <f t="shared" si="12"/>
        <v>30</v>
      </c>
      <c r="H424">
        <f t="shared" ca="1" si="13"/>
        <v>0</v>
      </c>
      <c r="I42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25" spans="1:9" x14ac:dyDescent="0.35">
      <c r="A425" t="s">
        <v>431</v>
      </c>
      <c r="B425" t="s">
        <v>2</v>
      </c>
      <c r="C425" s="4">
        <v>45382</v>
      </c>
      <c r="D425" s="4">
        <v>45412</v>
      </c>
      <c r="E425" s="1">
        <v>49763.9</v>
      </c>
      <c r="F425" t="s">
        <v>3</v>
      </c>
      <c r="G425">
        <f t="shared" si="12"/>
        <v>30</v>
      </c>
      <c r="H425">
        <f t="shared" ca="1" si="13"/>
        <v>0</v>
      </c>
      <c r="I42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26" spans="1:9" x14ac:dyDescent="0.35">
      <c r="A426" t="s">
        <v>432</v>
      </c>
      <c r="B426" t="s">
        <v>11</v>
      </c>
      <c r="C426" s="4">
        <v>45858</v>
      </c>
      <c r="D426" s="4">
        <v>45888</v>
      </c>
      <c r="E426" s="1">
        <v>30423.93</v>
      </c>
      <c r="F426" t="s">
        <v>3</v>
      </c>
      <c r="G426">
        <f t="shared" si="12"/>
        <v>30</v>
      </c>
      <c r="H426">
        <f t="shared" ca="1" si="13"/>
        <v>0</v>
      </c>
      <c r="I42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27" spans="1:9" x14ac:dyDescent="0.35">
      <c r="A427" t="s">
        <v>433</v>
      </c>
      <c r="B427" t="s">
        <v>5</v>
      </c>
      <c r="C427" s="4">
        <v>44971</v>
      </c>
      <c r="D427" s="4">
        <v>45001</v>
      </c>
      <c r="E427" s="1">
        <v>26194.14</v>
      </c>
      <c r="F427" t="s">
        <v>3</v>
      </c>
      <c r="G427">
        <f t="shared" si="12"/>
        <v>30</v>
      </c>
      <c r="H427">
        <f t="shared" ca="1" si="13"/>
        <v>0</v>
      </c>
      <c r="I42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28" spans="1:9" x14ac:dyDescent="0.35">
      <c r="A428" t="s">
        <v>434</v>
      </c>
      <c r="B428" t="s">
        <v>7</v>
      </c>
      <c r="C428" s="4">
        <v>45911</v>
      </c>
      <c r="D428" s="4">
        <v>45941</v>
      </c>
      <c r="E428" s="1">
        <v>28218.94</v>
      </c>
      <c r="F428" t="s">
        <v>3</v>
      </c>
      <c r="G428">
        <f t="shared" si="12"/>
        <v>30</v>
      </c>
      <c r="H428">
        <f t="shared" ca="1" si="13"/>
        <v>0</v>
      </c>
      <c r="I42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29" spans="1:9" x14ac:dyDescent="0.35">
      <c r="A429" t="s">
        <v>435</v>
      </c>
      <c r="B429" t="s">
        <v>11</v>
      </c>
      <c r="C429" s="4">
        <v>45710</v>
      </c>
      <c r="D429" s="4">
        <v>45740</v>
      </c>
      <c r="E429" s="1">
        <v>38012.58</v>
      </c>
      <c r="F429" t="s">
        <v>3</v>
      </c>
      <c r="G429">
        <f t="shared" si="12"/>
        <v>30</v>
      </c>
      <c r="H429">
        <f t="shared" ca="1" si="13"/>
        <v>0</v>
      </c>
      <c r="I42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30" spans="1:9" x14ac:dyDescent="0.35">
      <c r="A430" t="s">
        <v>436</v>
      </c>
      <c r="B430" t="s">
        <v>2</v>
      </c>
      <c r="C430" s="4">
        <v>45531</v>
      </c>
      <c r="D430" s="4">
        <v>45561</v>
      </c>
      <c r="E430" s="1">
        <v>7385.42</v>
      </c>
      <c r="F430" t="s">
        <v>18</v>
      </c>
      <c r="G430">
        <f t="shared" si="12"/>
        <v>30</v>
      </c>
      <c r="H430">
        <f t="shared" ca="1" si="13"/>
        <v>727</v>
      </c>
      <c r="I430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431" spans="1:9" x14ac:dyDescent="0.35">
      <c r="A431" t="s">
        <v>437</v>
      </c>
      <c r="B431" t="s">
        <v>7</v>
      </c>
      <c r="C431" s="4">
        <v>46197</v>
      </c>
      <c r="D431" s="4">
        <v>46227</v>
      </c>
      <c r="E431" s="1">
        <v>20173.79</v>
      </c>
      <c r="F431" t="s">
        <v>3</v>
      </c>
      <c r="G431">
        <f t="shared" si="12"/>
        <v>30</v>
      </c>
      <c r="H431">
        <f t="shared" ca="1" si="13"/>
        <v>0</v>
      </c>
      <c r="I43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32" spans="1:9" x14ac:dyDescent="0.35">
      <c r="A432" t="s">
        <v>438</v>
      </c>
      <c r="B432" t="s">
        <v>2</v>
      </c>
      <c r="C432" s="4">
        <v>45046</v>
      </c>
      <c r="D432" s="4">
        <v>45076</v>
      </c>
      <c r="E432" s="1">
        <v>10038.61</v>
      </c>
      <c r="F432" t="s">
        <v>3</v>
      </c>
      <c r="G432">
        <f t="shared" si="12"/>
        <v>30</v>
      </c>
      <c r="H432">
        <f t="shared" ca="1" si="13"/>
        <v>0</v>
      </c>
      <c r="I43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33" spans="1:9" x14ac:dyDescent="0.35">
      <c r="A433" t="s">
        <v>439</v>
      </c>
      <c r="B433" t="s">
        <v>7</v>
      </c>
      <c r="C433" s="4">
        <v>45833</v>
      </c>
      <c r="D433" s="4">
        <v>45863</v>
      </c>
      <c r="E433" s="1">
        <v>19753.580000000002</v>
      </c>
      <c r="F433" t="s">
        <v>3</v>
      </c>
      <c r="G433">
        <f t="shared" si="12"/>
        <v>30</v>
      </c>
      <c r="H433">
        <f t="shared" ca="1" si="13"/>
        <v>0</v>
      </c>
      <c r="I43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34" spans="1:9" x14ac:dyDescent="0.35">
      <c r="A434" t="s">
        <v>440</v>
      </c>
      <c r="B434" t="s">
        <v>2</v>
      </c>
      <c r="C434" s="4">
        <v>45778</v>
      </c>
      <c r="D434" s="4">
        <v>45808</v>
      </c>
      <c r="E434" s="1">
        <v>33683.08</v>
      </c>
      <c r="F434" t="s">
        <v>3</v>
      </c>
      <c r="G434">
        <f t="shared" si="12"/>
        <v>30</v>
      </c>
      <c r="H434">
        <f t="shared" ca="1" si="13"/>
        <v>0</v>
      </c>
      <c r="I43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35" spans="1:9" x14ac:dyDescent="0.35">
      <c r="A435" t="s">
        <v>441</v>
      </c>
      <c r="B435" t="s">
        <v>5</v>
      </c>
      <c r="C435" s="4">
        <v>46207</v>
      </c>
      <c r="D435" s="4">
        <v>46237</v>
      </c>
      <c r="E435" s="1">
        <v>32927.589999999997</v>
      </c>
      <c r="F435" t="s">
        <v>3</v>
      </c>
      <c r="G435">
        <f t="shared" si="12"/>
        <v>30</v>
      </c>
      <c r="H435">
        <f t="shared" ca="1" si="13"/>
        <v>0</v>
      </c>
      <c r="I43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36" spans="1:9" x14ac:dyDescent="0.35">
      <c r="A436" t="s">
        <v>442</v>
      </c>
      <c r="B436" t="s">
        <v>7</v>
      </c>
      <c r="C436" s="4">
        <v>45189</v>
      </c>
      <c r="D436" s="4">
        <v>45219</v>
      </c>
      <c r="E436" s="1">
        <v>30497.15</v>
      </c>
      <c r="F436" t="s">
        <v>3</v>
      </c>
      <c r="G436">
        <f t="shared" si="12"/>
        <v>30</v>
      </c>
      <c r="H436">
        <f t="shared" ca="1" si="13"/>
        <v>0</v>
      </c>
      <c r="I43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37" spans="1:9" x14ac:dyDescent="0.35">
      <c r="A437" t="s">
        <v>443</v>
      </c>
      <c r="B437" t="s">
        <v>5</v>
      </c>
      <c r="C437" s="4">
        <v>45600</v>
      </c>
      <c r="D437" s="4">
        <v>45630</v>
      </c>
      <c r="E437" s="1">
        <v>20141.61</v>
      </c>
      <c r="F437" t="s">
        <v>18</v>
      </c>
      <c r="G437">
        <f t="shared" si="12"/>
        <v>30</v>
      </c>
      <c r="H437">
        <f t="shared" ca="1" si="13"/>
        <v>658</v>
      </c>
      <c r="I437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438" spans="1:9" x14ac:dyDescent="0.35">
      <c r="A438" t="s">
        <v>444</v>
      </c>
      <c r="B438" t="s">
        <v>5</v>
      </c>
      <c r="C438" s="4">
        <v>45336</v>
      </c>
      <c r="D438" s="4">
        <v>45366</v>
      </c>
      <c r="E438" s="1">
        <v>12659.36</v>
      </c>
      <c r="F438" t="s">
        <v>3</v>
      </c>
      <c r="G438">
        <f t="shared" si="12"/>
        <v>30</v>
      </c>
      <c r="H438">
        <f t="shared" ca="1" si="13"/>
        <v>0</v>
      </c>
      <c r="I43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39" spans="1:9" x14ac:dyDescent="0.35">
      <c r="A439" t="s">
        <v>445</v>
      </c>
      <c r="B439" t="s">
        <v>7</v>
      </c>
      <c r="C439" s="4">
        <v>45826</v>
      </c>
      <c r="D439" s="4">
        <v>45856</v>
      </c>
      <c r="E439" s="1">
        <v>9217.7900000000009</v>
      </c>
      <c r="F439" t="s">
        <v>3</v>
      </c>
      <c r="G439">
        <f t="shared" si="12"/>
        <v>30</v>
      </c>
      <c r="H439">
        <f t="shared" ca="1" si="13"/>
        <v>0</v>
      </c>
      <c r="I43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40" spans="1:9" x14ac:dyDescent="0.35">
      <c r="A440" t="s">
        <v>446</v>
      </c>
      <c r="B440" t="s">
        <v>7</v>
      </c>
      <c r="C440" s="4">
        <v>45047</v>
      </c>
      <c r="D440" s="4">
        <v>45077</v>
      </c>
      <c r="E440" s="1">
        <v>22467.62</v>
      </c>
      <c r="F440" t="s">
        <v>3</v>
      </c>
      <c r="G440">
        <f t="shared" si="12"/>
        <v>30</v>
      </c>
      <c r="H440">
        <f t="shared" ca="1" si="13"/>
        <v>0</v>
      </c>
      <c r="I44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41" spans="1:9" x14ac:dyDescent="0.35">
      <c r="A441" t="s">
        <v>447</v>
      </c>
      <c r="B441" t="s">
        <v>2</v>
      </c>
      <c r="C441" s="4">
        <v>45316</v>
      </c>
      <c r="D441" s="4">
        <v>45346</v>
      </c>
      <c r="E441" s="1">
        <v>24836.63</v>
      </c>
      <c r="F441" t="s">
        <v>18</v>
      </c>
      <c r="G441">
        <f t="shared" si="12"/>
        <v>30</v>
      </c>
      <c r="H441">
        <f t="shared" ca="1" si="13"/>
        <v>942</v>
      </c>
      <c r="I441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442" spans="1:9" x14ac:dyDescent="0.35">
      <c r="A442" t="s">
        <v>448</v>
      </c>
      <c r="B442" t="s">
        <v>11</v>
      </c>
      <c r="C442" s="4">
        <v>45381</v>
      </c>
      <c r="D442" s="4">
        <v>45411</v>
      </c>
      <c r="E442" s="1">
        <v>14405.62</v>
      </c>
      <c r="F442" t="s">
        <v>3</v>
      </c>
      <c r="G442">
        <f t="shared" si="12"/>
        <v>30</v>
      </c>
      <c r="H442">
        <f t="shared" ca="1" si="13"/>
        <v>0</v>
      </c>
      <c r="I44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43" spans="1:9" x14ac:dyDescent="0.35">
      <c r="A443" t="s">
        <v>449</v>
      </c>
      <c r="B443" t="s">
        <v>9</v>
      </c>
      <c r="C443" s="4">
        <v>45370</v>
      </c>
      <c r="D443" s="4">
        <v>45400</v>
      </c>
      <c r="E443" s="1">
        <v>18956.46</v>
      </c>
      <c r="F443" t="s">
        <v>3</v>
      </c>
      <c r="G443">
        <f t="shared" si="12"/>
        <v>30</v>
      </c>
      <c r="H443">
        <f t="shared" ca="1" si="13"/>
        <v>0</v>
      </c>
      <c r="I44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44" spans="1:9" x14ac:dyDescent="0.35">
      <c r="A444" t="s">
        <v>450</v>
      </c>
      <c r="B444" t="s">
        <v>5</v>
      </c>
      <c r="C444" s="4">
        <v>45681</v>
      </c>
      <c r="D444" s="4">
        <v>45711</v>
      </c>
      <c r="E444" s="1">
        <v>31442.95</v>
      </c>
      <c r="F444" t="s">
        <v>3</v>
      </c>
      <c r="G444">
        <f t="shared" si="12"/>
        <v>30</v>
      </c>
      <c r="H444">
        <f t="shared" ca="1" si="13"/>
        <v>0</v>
      </c>
      <c r="I44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45" spans="1:9" x14ac:dyDescent="0.35">
      <c r="A445" t="s">
        <v>451</v>
      </c>
      <c r="B445" t="s">
        <v>2</v>
      </c>
      <c r="C445" s="4">
        <v>45490</v>
      </c>
      <c r="D445" s="4">
        <v>45520</v>
      </c>
      <c r="E445" s="1">
        <v>29405.77</v>
      </c>
      <c r="F445" t="s">
        <v>3</v>
      </c>
      <c r="G445">
        <f t="shared" si="12"/>
        <v>30</v>
      </c>
      <c r="H445">
        <f t="shared" ca="1" si="13"/>
        <v>0</v>
      </c>
      <c r="I44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46" spans="1:9" x14ac:dyDescent="0.35">
      <c r="A446" t="s">
        <v>452</v>
      </c>
      <c r="B446" t="s">
        <v>2</v>
      </c>
      <c r="C446" s="4">
        <v>45800</v>
      </c>
      <c r="D446" s="4">
        <v>45830</v>
      </c>
      <c r="E446" s="1">
        <v>23866.12</v>
      </c>
      <c r="F446" t="s">
        <v>3</v>
      </c>
      <c r="G446">
        <f t="shared" si="12"/>
        <v>30</v>
      </c>
      <c r="H446">
        <f t="shared" ca="1" si="13"/>
        <v>0</v>
      </c>
      <c r="I44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47" spans="1:9" x14ac:dyDescent="0.35">
      <c r="A447" t="s">
        <v>453</v>
      </c>
      <c r="B447" t="s">
        <v>2</v>
      </c>
      <c r="C447" s="4">
        <v>45043</v>
      </c>
      <c r="D447" s="4">
        <v>45073</v>
      </c>
      <c r="E447" s="1">
        <v>26478.48</v>
      </c>
      <c r="F447" t="s">
        <v>3</v>
      </c>
      <c r="G447">
        <f t="shared" si="12"/>
        <v>30</v>
      </c>
      <c r="H447">
        <f t="shared" ca="1" si="13"/>
        <v>0</v>
      </c>
      <c r="I44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48" spans="1:9" x14ac:dyDescent="0.35">
      <c r="A448" t="s">
        <v>454</v>
      </c>
      <c r="B448" t="s">
        <v>9</v>
      </c>
      <c r="C448" s="4">
        <v>46162</v>
      </c>
      <c r="D448" s="4">
        <v>46192</v>
      </c>
      <c r="E448" s="1">
        <v>18547.05</v>
      </c>
      <c r="F448" t="s">
        <v>3</v>
      </c>
      <c r="G448">
        <f t="shared" si="12"/>
        <v>30</v>
      </c>
      <c r="H448">
        <f t="shared" ca="1" si="13"/>
        <v>0</v>
      </c>
      <c r="I44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49" spans="1:9" x14ac:dyDescent="0.35">
      <c r="A449" t="s">
        <v>455</v>
      </c>
      <c r="B449" t="s">
        <v>7</v>
      </c>
      <c r="C449" s="4">
        <v>46182</v>
      </c>
      <c r="D449" s="4">
        <v>46212</v>
      </c>
      <c r="E449" s="1">
        <v>46201.02</v>
      </c>
      <c r="F449" t="s">
        <v>18</v>
      </c>
      <c r="G449">
        <f t="shared" si="12"/>
        <v>30</v>
      </c>
      <c r="H449">
        <f t="shared" ca="1" si="13"/>
        <v>76</v>
      </c>
      <c r="I449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61-90 days</v>
      </c>
    </row>
    <row r="450" spans="1:9" x14ac:dyDescent="0.35">
      <c r="A450" t="s">
        <v>456</v>
      </c>
      <c r="B450" t="s">
        <v>2</v>
      </c>
      <c r="C450" s="4">
        <v>45734</v>
      </c>
      <c r="D450" s="4">
        <v>45764</v>
      </c>
      <c r="E450" s="1">
        <v>34222.75</v>
      </c>
      <c r="F450" t="s">
        <v>3</v>
      </c>
      <c r="G450">
        <f t="shared" ref="G450:G501" si="14">D450-C450</f>
        <v>30</v>
      </c>
      <c r="H450">
        <f t="shared" ref="H450:H501" ca="1" si="15">IF(F450="Unpaid", TODAY() - D450, 0)</f>
        <v>0</v>
      </c>
      <c r="I45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51" spans="1:9" x14ac:dyDescent="0.35">
      <c r="A451" t="s">
        <v>457</v>
      </c>
      <c r="B451" t="s">
        <v>2</v>
      </c>
      <c r="C451" s="4">
        <v>45267</v>
      </c>
      <c r="D451" s="4">
        <v>45297</v>
      </c>
      <c r="E451" s="1">
        <v>6908.29</v>
      </c>
      <c r="F451" t="s">
        <v>18</v>
      </c>
      <c r="G451">
        <f t="shared" si="14"/>
        <v>30</v>
      </c>
      <c r="H451">
        <f t="shared" ca="1" si="15"/>
        <v>991</v>
      </c>
      <c r="I451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452" spans="1:9" x14ac:dyDescent="0.35">
      <c r="A452" t="s">
        <v>458</v>
      </c>
      <c r="B452" t="s">
        <v>11</v>
      </c>
      <c r="C452" s="4">
        <v>45146</v>
      </c>
      <c r="D452" s="4">
        <v>45176</v>
      </c>
      <c r="E452" s="1">
        <v>14319.58</v>
      </c>
      <c r="F452" t="s">
        <v>3</v>
      </c>
      <c r="G452">
        <f t="shared" si="14"/>
        <v>30</v>
      </c>
      <c r="H452">
        <f t="shared" ca="1" si="15"/>
        <v>0</v>
      </c>
      <c r="I45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53" spans="1:9" x14ac:dyDescent="0.35">
      <c r="A453" t="s">
        <v>459</v>
      </c>
      <c r="B453" t="s">
        <v>7</v>
      </c>
      <c r="C453" s="4">
        <v>46194</v>
      </c>
      <c r="D453" s="4">
        <v>46224</v>
      </c>
      <c r="E453" s="1">
        <v>42099.63</v>
      </c>
      <c r="F453" t="s">
        <v>3</v>
      </c>
      <c r="G453">
        <f t="shared" si="14"/>
        <v>30</v>
      </c>
      <c r="H453">
        <f t="shared" ca="1" si="15"/>
        <v>0</v>
      </c>
      <c r="I45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54" spans="1:9" x14ac:dyDescent="0.35">
      <c r="A454" t="s">
        <v>460</v>
      </c>
      <c r="B454" t="s">
        <v>7</v>
      </c>
      <c r="C454" s="4">
        <v>46163</v>
      </c>
      <c r="D454" s="4">
        <v>46193</v>
      </c>
      <c r="E454" s="1">
        <v>28269.11</v>
      </c>
      <c r="F454" t="s">
        <v>3</v>
      </c>
      <c r="G454">
        <f t="shared" si="14"/>
        <v>30</v>
      </c>
      <c r="H454">
        <f t="shared" ca="1" si="15"/>
        <v>0</v>
      </c>
      <c r="I45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55" spans="1:9" x14ac:dyDescent="0.35">
      <c r="A455" t="s">
        <v>461</v>
      </c>
      <c r="B455" t="s">
        <v>7</v>
      </c>
      <c r="C455" s="4">
        <v>46115</v>
      </c>
      <c r="D455" s="4">
        <v>46145</v>
      </c>
      <c r="E455" s="1">
        <v>6356.91</v>
      </c>
      <c r="F455" t="s">
        <v>3</v>
      </c>
      <c r="G455">
        <f t="shared" si="14"/>
        <v>30</v>
      </c>
      <c r="H455">
        <f t="shared" ca="1" si="15"/>
        <v>0</v>
      </c>
      <c r="I45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56" spans="1:9" x14ac:dyDescent="0.35">
      <c r="A456" t="s">
        <v>462</v>
      </c>
      <c r="B456" t="s">
        <v>9</v>
      </c>
      <c r="C456" s="4">
        <v>45459</v>
      </c>
      <c r="D456" s="4">
        <v>45489</v>
      </c>
      <c r="E456" s="1">
        <v>4734.49</v>
      </c>
      <c r="F456" t="s">
        <v>3</v>
      </c>
      <c r="G456">
        <f t="shared" si="14"/>
        <v>30</v>
      </c>
      <c r="H456">
        <f t="shared" ca="1" si="15"/>
        <v>0</v>
      </c>
      <c r="I45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57" spans="1:9" x14ac:dyDescent="0.35">
      <c r="A457" t="s">
        <v>463</v>
      </c>
      <c r="B457" t="s">
        <v>5</v>
      </c>
      <c r="C457" s="4">
        <v>45391</v>
      </c>
      <c r="D457" s="4">
        <v>45421</v>
      </c>
      <c r="E457" s="1">
        <v>4003.09</v>
      </c>
      <c r="F457" t="s">
        <v>18</v>
      </c>
      <c r="G457">
        <f t="shared" si="14"/>
        <v>30</v>
      </c>
      <c r="H457">
        <f t="shared" ca="1" si="15"/>
        <v>867</v>
      </c>
      <c r="I457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458" spans="1:9" x14ac:dyDescent="0.35">
      <c r="A458" t="s">
        <v>464</v>
      </c>
      <c r="B458" t="s">
        <v>11</v>
      </c>
      <c r="C458" s="4">
        <v>45563</v>
      </c>
      <c r="D458" s="4">
        <v>45593</v>
      </c>
      <c r="E458" s="1">
        <v>21020.17</v>
      </c>
      <c r="F458" t="s">
        <v>3</v>
      </c>
      <c r="G458">
        <f t="shared" si="14"/>
        <v>30</v>
      </c>
      <c r="H458">
        <f t="shared" ca="1" si="15"/>
        <v>0</v>
      </c>
      <c r="I45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59" spans="1:9" x14ac:dyDescent="0.35">
      <c r="A459" t="s">
        <v>465</v>
      </c>
      <c r="B459" t="s">
        <v>7</v>
      </c>
      <c r="C459" s="4">
        <v>44953</v>
      </c>
      <c r="D459" s="4">
        <v>44983</v>
      </c>
      <c r="E459" s="1">
        <v>42793.36</v>
      </c>
      <c r="F459" t="s">
        <v>3</v>
      </c>
      <c r="G459">
        <f t="shared" si="14"/>
        <v>30</v>
      </c>
      <c r="H459">
        <f t="shared" ca="1" si="15"/>
        <v>0</v>
      </c>
      <c r="I45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60" spans="1:9" x14ac:dyDescent="0.35">
      <c r="A460" t="s">
        <v>466</v>
      </c>
      <c r="B460" t="s">
        <v>5</v>
      </c>
      <c r="C460" s="4">
        <v>45383</v>
      </c>
      <c r="D460" s="4">
        <v>45413</v>
      </c>
      <c r="E460" s="1">
        <v>13205.38</v>
      </c>
      <c r="F460" t="s">
        <v>3</v>
      </c>
      <c r="G460">
        <f t="shared" si="14"/>
        <v>30</v>
      </c>
      <c r="H460">
        <f t="shared" ca="1" si="15"/>
        <v>0</v>
      </c>
      <c r="I46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61" spans="1:9" x14ac:dyDescent="0.35">
      <c r="A461" t="s">
        <v>467</v>
      </c>
      <c r="B461" t="s">
        <v>9</v>
      </c>
      <c r="C461" s="4">
        <v>45732</v>
      </c>
      <c r="D461" s="4">
        <v>45762</v>
      </c>
      <c r="E461" s="1">
        <v>29396.51</v>
      </c>
      <c r="F461" t="s">
        <v>3</v>
      </c>
      <c r="G461">
        <f t="shared" si="14"/>
        <v>30</v>
      </c>
      <c r="H461">
        <f t="shared" ca="1" si="15"/>
        <v>0</v>
      </c>
      <c r="I46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62" spans="1:9" x14ac:dyDescent="0.35">
      <c r="A462" t="s">
        <v>468</v>
      </c>
      <c r="B462" t="s">
        <v>9</v>
      </c>
      <c r="C462" s="4">
        <v>46097</v>
      </c>
      <c r="D462" s="4">
        <v>46127</v>
      </c>
      <c r="E462" s="1">
        <v>49422.69</v>
      </c>
      <c r="F462" t="s">
        <v>3</v>
      </c>
      <c r="G462">
        <f t="shared" si="14"/>
        <v>30</v>
      </c>
      <c r="H462">
        <f t="shared" ca="1" si="15"/>
        <v>0</v>
      </c>
      <c r="I46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63" spans="1:9" x14ac:dyDescent="0.35">
      <c r="A463" t="s">
        <v>469</v>
      </c>
      <c r="B463" t="s">
        <v>5</v>
      </c>
      <c r="C463" s="4">
        <v>45499</v>
      </c>
      <c r="D463" s="4">
        <v>45529</v>
      </c>
      <c r="E463" s="1">
        <v>15738.9</v>
      </c>
      <c r="F463" t="s">
        <v>3</v>
      </c>
      <c r="G463">
        <f t="shared" si="14"/>
        <v>30</v>
      </c>
      <c r="H463">
        <f t="shared" ca="1" si="15"/>
        <v>0</v>
      </c>
      <c r="I46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64" spans="1:9" x14ac:dyDescent="0.35">
      <c r="A464" t="s">
        <v>470</v>
      </c>
      <c r="B464" t="s">
        <v>9</v>
      </c>
      <c r="C464" s="4">
        <v>45295</v>
      </c>
      <c r="D464" s="4">
        <v>45325</v>
      </c>
      <c r="E464" s="1">
        <v>18651.75</v>
      </c>
      <c r="F464" t="s">
        <v>3</v>
      </c>
      <c r="G464">
        <f t="shared" si="14"/>
        <v>30</v>
      </c>
      <c r="H464">
        <f t="shared" ca="1" si="15"/>
        <v>0</v>
      </c>
      <c r="I46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65" spans="1:9" x14ac:dyDescent="0.35">
      <c r="A465" t="s">
        <v>471</v>
      </c>
      <c r="B465" t="s">
        <v>9</v>
      </c>
      <c r="C465" s="4">
        <v>45716</v>
      </c>
      <c r="D465" s="4">
        <v>45746</v>
      </c>
      <c r="E465" s="1">
        <v>19211.009999999998</v>
      </c>
      <c r="F465" t="s">
        <v>3</v>
      </c>
      <c r="G465">
        <f t="shared" si="14"/>
        <v>30</v>
      </c>
      <c r="H465">
        <f t="shared" ca="1" si="15"/>
        <v>0</v>
      </c>
      <c r="I46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66" spans="1:9" x14ac:dyDescent="0.35">
      <c r="A466" t="s">
        <v>472</v>
      </c>
      <c r="B466" t="s">
        <v>7</v>
      </c>
      <c r="C466" s="4">
        <v>45978</v>
      </c>
      <c r="D466" s="4">
        <v>46008</v>
      </c>
      <c r="E466" s="1">
        <v>33418.910000000003</v>
      </c>
      <c r="F466" t="s">
        <v>3</v>
      </c>
      <c r="G466">
        <f t="shared" si="14"/>
        <v>30</v>
      </c>
      <c r="H466">
        <f t="shared" ca="1" si="15"/>
        <v>0</v>
      </c>
      <c r="I46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67" spans="1:9" x14ac:dyDescent="0.35">
      <c r="A467" t="s">
        <v>473</v>
      </c>
      <c r="B467" t="s">
        <v>7</v>
      </c>
      <c r="C467" s="4">
        <v>45728</v>
      </c>
      <c r="D467" s="4">
        <v>45758</v>
      </c>
      <c r="E467" s="1">
        <v>28612.92</v>
      </c>
      <c r="F467" t="s">
        <v>3</v>
      </c>
      <c r="G467">
        <f t="shared" si="14"/>
        <v>30</v>
      </c>
      <c r="H467">
        <f t="shared" ca="1" si="15"/>
        <v>0</v>
      </c>
      <c r="I46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68" spans="1:9" x14ac:dyDescent="0.35">
      <c r="A468" t="s">
        <v>474</v>
      </c>
      <c r="B468" t="s">
        <v>5</v>
      </c>
      <c r="C468" s="4">
        <v>45478</v>
      </c>
      <c r="D468" s="4">
        <v>45508</v>
      </c>
      <c r="E468" s="1">
        <v>18079</v>
      </c>
      <c r="F468" t="s">
        <v>3</v>
      </c>
      <c r="G468">
        <f t="shared" si="14"/>
        <v>30</v>
      </c>
      <c r="H468">
        <f t="shared" ca="1" si="15"/>
        <v>0</v>
      </c>
      <c r="I46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69" spans="1:9" x14ac:dyDescent="0.35">
      <c r="A469" t="s">
        <v>475</v>
      </c>
      <c r="B469" t="s">
        <v>2</v>
      </c>
      <c r="C469" s="4">
        <v>45202</v>
      </c>
      <c r="D469" s="4">
        <v>45232</v>
      </c>
      <c r="E469" s="1">
        <v>9485.9500000000007</v>
      </c>
      <c r="F469" t="s">
        <v>3</v>
      </c>
      <c r="G469">
        <f t="shared" si="14"/>
        <v>30</v>
      </c>
      <c r="H469">
        <f t="shared" ca="1" si="15"/>
        <v>0</v>
      </c>
      <c r="I46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70" spans="1:9" x14ac:dyDescent="0.35">
      <c r="A470" t="s">
        <v>476</v>
      </c>
      <c r="B470" t="s">
        <v>11</v>
      </c>
      <c r="C470" s="4">
        <v>45745</v>
      </c>
      <c r="D470" s="4">
        <v>45775</v>
      </c>
      <c r="E470" s="1">
        <v>9924.11</v>
      </c>
      <c r="F470" t="s">
        <v>3</v>
      </c>
      <c r="G470">
        <f t="shared" si="14"/>
        <v>30</v>
      </c>
      <c r="H470">
        <f t="shared" ca="1" si="15"/>
        <v>0</v>
      </c>
      <c r="I47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71" spans="1:9" x14ac:dyDescent="0.35">
      <c r="A471" t="s">
        <v>477</v>
      </c>
      <c r="B471" t="s">
        <v>5</v>
      </c>
      <c r="C471" s="4">
        <v>45044</v>
      </c>
      <c r="D471" s="4">
        <v>45074</v>
      </c>
      <c r="E471" s="1">
        <v>28326.58</v>
      </c>
      <c r="F471" t="s">
        <v>3</v>
      </c>
      <c r="G471">
        <f t="shared" si="14"/>
        <v>30</v>
      </c>
      <c r="H471">
        <f t="shared" ca="1" si="15"/>
        <v>0</v>
      </c>
      <c r="I47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72" spans="1:9" x14ac:dyDescent="0.35">
      <c r="A472" t="s">
        <v>478</v>
      </c>
      <c r="B472" t="s">
        <v>9</v>
      </c>
      <c r="C472" s="4">
        <v>45414</v>
      </c>
      <c r="D472" s="4">
        <v>45444</v>
      </c>
      <c r="E472" s="1">
        <v>24126.32</v>
      </c>
      <c r="F472" t="s">
        <v>3</v>
      </c>
      <c r="G472">
        <f t="shared" si="14"/>
        <v>30</v>
      </c>
      <c r="H472">
        <f t="shared" ca="1" si="15"/>
        <v>0</v>
      </c>
      <c r="I47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73" spans="1:9" x14ac:dyDescent="0.35">
      <c r="A473" t="s">
        <v>479</v>
      </c>
      <c r="B473" t="s">
        <v>7</v>
      </c>
      <c r="C473" s="4">
        <v>45403</v>
      </c>
      <c r="D473" s="4">
        <v>45433</v>
      </c>
      <c r="E473" s="1">
        <v>40942.83</v>
      </c>
      <c r="F473" t="s">
        <v>3</v>
      </c>
      <c r="G473">
        <f t="shared" si="14"/>
        <v>30</v>
      </c>
      <c r="H473">
        <f t="shared" ca="1" si="15"/>
        <v>0</v>
      </c>
      <c r="I47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74" spans="1:9" x14ac:dyDescent="0.35">
      <c r="A474" t="s">
        <v>480</v>
      </c>
      <c r="B474" t="s">
        <v>9</v>
      </c>
      <c r="C474" s="4">
        <v>45121</v>
      </c>
      <c r="D474" s="4">
        <v>45151</v>
      </c>
      <c r="E474" s="1">
        <v>49795.53</v>
      </c>
      <c r="F474" t="s">
        <v>3</v>
      </c>
      <c r="G474">
        <f t="shared" si="14"/>
        <v>30</v>
      </c>
      <c r="H474">
        <f t="shared" ca="1" si="15"/>
        <v>0</v>
      </c>
      <c r="I47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75" spans="1:9" x14ac:dyDescent="0.35">
      <c r="A475" t="s">
        <v>481</v>
      </c>
      <c r="B475" t="s">
        <v>5</v>
      </c>
      <c r="C475" s="4">
        <v>45721</v>
      </c>
      <c r="D475" s="4">
        <v>45751</v>
      </c>
      <c r="E475" s="1">
        <v>39062.22</v>
      </c>
      <c r="F475" t="s">
        <v>3</v>
      </c>
      <c r="G475">
        <f t="shared" si="14"/>
        <v>30</v>
      </c>
      <c r="H475">
        <f t="shared" ca="1" si="15"/>
        <v>0</v>
      </c>
      <c r="I47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76" spans="1:9" x14ac:dyDescent="0.35">
      <c r="A476" t="s">
        <v>482</v>
      </c>
      <c r="B476" t="s">
        <v>11</v>
      </c>
      <c r="C476" s="4">
        <v>45768</v>
      </c>
      <c r="D476" s="4">
        <v>45798</v>
      </c>
      <c r="E476" s="1">
        <v>19474.060000000001</v>
      </c>
      <c r="F476" t="s">
        <v>3</v>
      </c>
      <c r="G476">
        <f t="shared" si="14"/>
        <v>30</v>
      </c>
      <c r="H476">
        <f t="shared" ca="1" si="15"/>
        <v>0</v>
      </c>
      <c r="I47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77" spans="1:9" x14ac:dyDescent="0.35">
      <c r="A477" t="s">
        <v>483</v>
      </c>
      <c r="B477" t="s">
        <v>7</v>
      </c>
      <c r="C477" s="4">
        <v>45354</v>
      </c>
      <c r="D477" s="4">
        <v>45384</v>
      </c>
      <c r="E477" s="1">
        <v>47302.3</v>
      </c>
      <c r="F477" t="s">
        <v>3</v>
      </c>
      <c r="G477">
        <f t="shared" si="14"/>
        <v>30</v>
      </c>
      <c r="H477">
        <f t="shared" ca="1" si="15"/>
        <v>0</v>
      </c>
      <c r="I47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78" spans="1:9" x14ac:dyDescent="0.35">
      <c r="A478" t="s">
        <v>484</v>
      </c>
      <c r="B478" t="s">
        <v>9</v>
      </c>
      <c r="C478" s="4">
        <v>45913</v>
      </c>
      <c r="D478" s="4">
        <v>45943</v>
      </c>
      <c r="E478" s="1">
        <v>36537.21</v>
      </c>
      <c r="F478" t="s">
        <v>3</v>
      </c>
      <c r="G478">
        <f t="shared" si="14"/>
        <v>30</v>
      </c>
      <c r="H478">
        <f t="shared" ca="1" si="15"/>
        <v>0</v>
      </c>
      <c r="I47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79" spans="1:9" x14ac:dyDescent="0.35">
      <c r="A479" t="s">
        <v>485</v>
      </c>
      <c r="B479" t="s">
        <v>7</v>
      </c>
      <c r="C479" s="4">
        <v>45478</v>
      </c>
      <c r="D479" s="4">
        <v>45508</v>
      </c>
      <c r="E479" s="1">
        <v>16556.7</v>
      </c>
      <c r="F479" t="s">
        <v>3</v>
      </c>
      <c r="G479">
        <f t="shared" si="14"/>
        <v>30</v>
      </c>
      <c r="H479">
        <f t="shared" ca="1" si="15"/>
        <v>0</v>
      </c>
      <c r="I47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80" spans="1:9" x14ac:dyDescent="0.35">
      <c r="A480" t="s">
        <v>486</v>
      </c>
      <c r="B480" t="s">
        <v>2</v>
      </c>
      <c r="C480" s="4">
        <v>45867</v>
      </c>
      <c r="D480" s="4">
        <v>45897</v>
      </c>
      <c r="E480" s="1">
        <v>12793.42</v>
      </c>
      <c r="F480" t="s">
        <v>3</v>
      </c>
      <c r="G480">
        <f t="shared" si="14"/>
        <v>30</v>
      </c>
      <c r="H480">
        <f t="shared" ca="1" si="15"/>
        <v>0</v>
      </c>
      <c r="I48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81" spans="1:9" x14ac:dyDescent="0.35">
      <c r="A481" t="s">
        <v>487</v>
      </c>
      <c r="B481" t="s">
        <v>7</v>
      </c>
      <c r="C481" s="4">
        <v>45864</v>
      </c>
      <c r="D481" s="4">
        <v>45894</v>
      </c>
      <c r="E481" s="1">
        <v>18983.91</v>
      </c>
      <c r="F481" t="s">
        <v>3</v>
      </c>
      <c r="G481">
        <f t="shared" si="14"/>
        <v>30</v>
      </c>
      <c r="H481">
        <f t="shared" ca="1" si="15"/>
        <v>0</v>
      </c>
      <c r="I48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82" spans="1:9" x14ac:dyDescent="0.35">
      <c r="A482" t="s">
        <v>488</v>
      </c>
      <c r="B482" t="s">
        <v>2</v>
      </c>
      <c r="C482" s="4">
        <v>45629</v>
      </c>
      <c r="D482" s="4">
        <v>45659</v>
      </c>
      <c r="E482" s="1">
        <v>40775.839999999997</v>
      </c>
      <c r="F482" t="s">
        <v>3</v>
      </c>
      <c r="G482">
        <f t="shared" si="14"/>
        <v>30</v>
      </c>
      <c r="H482">
        <f t="shared" ca="1" si="15"/>
        <v>0</v>
      </c>
      <c r="I48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83" spans="1:9" x14ac:dyDescent="0.35">
      <c r="A483" t="s">
        <v>489</v>
      </c>
      <c r="B483" t="s">
        <v>7</v>
      </c>
      <c r="C483" s="4">
        <v>45233</v>
      </c>
      <c r="D483" s="4">
        <v>45263</v>
      </c>
      <c r="E483" s="1">
        <v>16126.39</v>
      </c>
      <c r="F483" t="s">
        <v>3</v>
      </c>
      <c r="G483">
        <f t="shared" si="14"/>
        <v>30</v>
      </c>
      <c r="H483">
        <f t="shared" ca="1" si="15"/>
        <v>0</v>
      </c>
      <c r="I483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84" spans="1:9" x14ac:dyDescent="0.35">
      <c r="A484" t="s">
        <v>490</v>
      </c>
      <c r="B484" t="s">
        <v>7</v>
      </c>
      <c r="C484" s="4">
        <v>45456</v>
      </c>
      <c r="D484" s="4">
        <v>45486</v>
      </c>
      <c r="E484" s="1">
        <v>26942.21</v>
      </c>
      <c r="F484" t="s">
        <v>3</v>
      </c>
      <c r="G484">
        <f t="shared" si="14"/>
        <v>30</v>
      </c>
      <c r="H484">
        <f t="shared" ca="1" si="15"/>
        <v>0</v>
      </c>
      <c r="I48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85" spans="1:9" x14ac:dyDescent="0.35">
      <c r="A485" t="s">
        <v>491</v>
      </c>
      <c r="B485" t="s">
        <v>9</v>
      </c>
      <c r="C485" s="4">
        <v>45003</v>
      </c>
      <c r="D485" s="4">
        <v>45033</v>
      </c>
      <c r="E485" s="1">
        <v>19289.54</v>
      </c>
      <c r="F485" t="s">
        <v>18</v>
      </c>
      <c r="G485">
        <f t="shared" si="14"/>
        <v>30</v>
      </c>
      <c r="H485">
        <f t="shared" ca="1" si="15"/>
        <v>1255</v>
      </c>
      <c r="I485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486" spans="1:9" x14ac:dyDescent="0.35">
      <c r="A486" t="s">
        <v>492</v>
      </c>
      <c r="B486" t="s">
        <v>9</v>
      </c>
      <c r="C486" s="4">
        <v>45674</v>
      </c>
      <c r="D486" s="4">
        <v>45704</v>
      </c>
      <c r="E486" s="1">
        <v>11619.86</v>
      </c>
      <c r="F486" t="s">
        <v>3</v>
      </c>
      <c r="G486">
        <f t="shared" si="14"/>
        <v>30</v>
      </c>
      <c r="H486">
        <f t="shared" ca="1" si="15"/>
        <v>0</v>
      </c>
      <c r="I48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87" spans="1:9" x14ac:dyDescent="0.35">
      <c r="A487" t="s">
        <v>493</v>
      </c>
      <c r="B487" t="s">
        <v>7</v>
      </c>
      <c r="C487" s="4">
        <v>45535</v>
      </c>
      <c r="D487" s="4">
        <v>45565</v>
      </c>
      <c r="E487" s="1">
        <v>9223.86</v>
      </c>
      <c r="F487" t="s">
        <v>3</v>
      </c>
      <c r="G487">
        <f t="shared" si="14"/>
        <v>30</v>
      </c>
      <c r="H487">
        <f t="shared" ca="1" si="15"/>
        <v>0</v>
      </c>
      <c r="I48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88" spans="1:9" x14ac:dyDescent="0.35">
      <c r="A488" t="s">
        <v>494</v>
      </c>
      <c r="B488" t="s">
        <v>2</v>
      </c>
      <c r="C488" s="4">
        <v>45953</v>
      </c>
      <c r="D488" s="4">
        <v>45983</v>
      </c>
      <c r="E488" s="1">
        <v>10085.15</v>
      </c>
      <c r="F488" t="s">
        <v>3</v>
      </c>
      <c r="G488">
        <f t="shared" si="14"/>
        <v>30</v>
      </c>
      <c r="H488">
        <f t="shared" ca="1" si="15"/>
        <v>0</v>
      </c>
      <c r="I488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89" spans="1:9" x14ac:dyDescent="0.35">
      <c r="A489" t="s">
        <v>495</v>
      </c>
      <c r="B489" t="s">
        <v>2</v>
      </c>
      <c r="C489" s="4">
        <v>45552</v>
      </c>
      <c r="D489" s="4">
        <v>45582</v>
      </c>
      <c r="E489" s="1">
        <v>3523.03</v>
      </c>
      <c r="F489" t="s">
        <v>3</v>
      </c>
      <c r="G489">
        <f t="shared" si="14"/>
        <v>30</v>
      </c>
      <c r="H489">
        <f t="shared" ca="1" si="15"/>
        <v>0</v>
      </c>
      <c r="I48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90" spans="1:9" x14ac:dyDescent="0.35">
      <c r="A490" t="s">
        <v>496</v>
      </c>
      <c r="B490" t="s">
        <v>9</v>
      </c>
      <c r="C490" s="4">
        <v>45079</v>
      </c>
      <c r="D490" s="4">
        <v>45109</v>
      </c>
      <c r="E490" s="1">
        <v>34561.660000000003</v>
      </c>
      <c r="F490" t="s">
        <v>3</v>
      </c>
      <c r="G490">
        <f t="shared" si="14"/>
        <v>30</v>
      </c>
      <c r="H490">
        <f t="shared" ca="1" si="15"/>
        <v>0</v>
      </c>
      <c r="I49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91" spans="1:9" x14ac:dyDescent="0.35">
      <c r="A491" t="s">
        <v>497</v>
      </c>
      <c r="B491" t="s">
        <v>7</v>
      </c>
      <c r="C491" s="4">
        <v>45054</v>
      </c>
      <c r="D491" s="4">
        <v>45084</v>
      </c>
      <c r="E491" s="1">
        <v>39510.879999999997</v>
      </c>
      <c r="F491" t="s">
        <v>3</v>
      </c>
      <c r="G491">
        <f t="shared" si="14"/>
        <v>30</v>
      </c>
      <c r="H491">
        <f t="shared" ca="1" si="15"/>
        <v>0</v>
      </c>
      <c r="I49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92" spans="1:9" x14ac:dyDescent="0.35">
      <c r="A492" t="s">
        <v>498</v>
      </c>
      <c r="B492" t="s">
        <v>7</v>
      </c>
      <c r="C492" s="4">
        <v>45838</v>
      </c>
      <c r="D492" s="4">
        <v>45868</v>
      </c>
      <c r="E492" s="1">
        <v>17196.34</v>
      </c>
      <c r="F492" t="s">
        <v>3</v>
      </c>
      <c r="G492">
        <f t="shared" si="14"/>
        <v>30</v>
      </c>
      <c r="H492">
        <f t="shared" ca="1" si="15"/>
        <v>0</v>
      </c>
      <c r="I492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93" spans="1:9" x14ac:dyDescent="0.35">
      <c r="A493" t="s">
        <v>499</v>
      </c>
      <c r="B493" t="s">
        <v>9</v>
      </c>
      <c r="C493" s="4">
        <v>44995</v>
      </c>
      <c r="D493" s="4">
        <v>45025</v>
      </c>
      <c r="E493" s="1">
        <v>2561.16</v>
      </c>
      <c r="F493" t="s">
        <v>18</v>
      </c>
      <c r="G493">
        <f t="shared" si="14"/>
        <v>30</v>
      </c>
      <c r="H493">
        <f t="shared" ca="1" si="15"/>
        <v>1263</v>
      </c>
      <c r="I493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494" spans="1:9" x14ac:dyDescent="0.35">
      <c r="A494" t="s">
        <v>500</v>
      </c>
      <c r="B494" t="s">
        <v>9</v>
      </c>
      <c r="C494" s="4">
        <v>45806</v>
      </c>
      <c r="D494" s="4">
        <v>45836</v>
      </c>
      <c r="E494" s="1">
        <v>19698.79</v>
      </c>
      <c r="F494" t="s">
        <v>3</v>
      </c>
      <c r="G494">
        <f t="shared" si="14"/>
        <v>30</v>
      </c>
      <c r="H494">
        <f t="shared" ca="1" si="15"/>
        <v>0</v>
      </c>
      <c r="I494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95" spans="1:9" x14ac:dyDescent="0.35">
      <c r="A495" t="s">
        <v>501</v>
      </c>
      <c r="B495" t="s">
        <v>7</v>
      </c>
      <c r="C495" s="4">
        <v>45806</v>
      </c>
      <c r="D495" s="4">
        <v>45836</v>
      </c>
      <c r="E495" s="1">
        <v>41002.019999999997</v>
      </c>
      <c r="F495" t="s">
        <v>3</v>
      </c>
      <c r="G495">
        <f t="shared" si="14"/>
        <v>30</v>
      </c>
      <c r="H495">
        <f t="shared" ca="1" si="15"/>
        <v>0</v>
      </c>
      <c r="I495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96" spans="1:9" x14ac:dyDescent="0.35">
      <c r="A496" t="s">
        <v>502</v>
      </c>
      <c r="B496" t="s">
        <v>11</v>
      </c>
      <c r="C496" s="4">
        <v>46092</v>
      </c>
      <c r="D496" s="4">
        <v>46122</v>
      </c>
      <c r="E496" s="1">
        <v>44191.65</v>
      </c>
      <c r="F496" t="s">
        <v>3</v>
      </c>
      <c r="G496">
        <f t="shared" si="14"/>
        <v>30</v>
      </c>
      <c r="H496">
        <f t="shared" ca="1" si="15"/>
        <v>0</v>
      </c>
      <c r="I496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97" spans="1:9" x14ac:dyDescent="0.35">
      <c r="A497" t="s">
        <v>503</v>
      </c>
      <c r="B497" t="s">
        <v>5</v>
      </c>
      <c r="C497" s="4">
        <v>45501</v>
      </c>
      <c r="D497" s="4">
        <v>45531</v>
      </c>
      <c r="E497" s="1">
        <v>46847.85</v>
      </c>
      <c r="F497" t="s">
        <v>3</v>
      </c>
      <c r="G497">
        <f t="shared" si="14"/>
        <v>30</v>
      </c>
      <c r="H497">
        <f t="shared" ca="1" si="15"/>
        <v>0</v>
      </c>
      <c r="I497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498" spans="1:9" x14ac:dyDescent="0.35">
      <c r="A498" t="s">
        <v>504</v>
      </c>
      <c r="B498" t="s">
        <v>11</v>
      </c>
      <c r="C498" s="4">
        <v>46075</v>
      </c>
      <c r="D498" s="4">
        <v>46105</v>
      </c>
      <c r="E498" s="1">
        <v>21074.080000000002</v>
      </c>
      <c r="F498" t="s">
        <v>18</v>
      </c>
      <c r="G498">
        <f t="shared" si="14"/>
        <v>30</v>
      </c>
      <c r="H498">
        <f t="shared" ca="1" si="15"/>
        <v>183</v>
      </c>
      <c r="I498" s="14" t="str">
        <f ca="1"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90+ days</v>
      </c>
    </row>
    <row r="499" spans="1:9" x14ac:dyDescent="0.35">
      <c r="A499" t="s">
        <v>505</v>
      </c>
      <c r="B499" t="s">
        <v>7</v>
      </c>
      <c r="C499" s="4">
        <v>45068</v>
      </c>
      <c r="D499" s="4">
        <v>45098</v>
      </c>
      <c r="E499" s="1">
        <v>40445.730000000003</v>
      </c>
      <c r="F499" t="s">
        <v>3</v>
      </c>
      <c r="G499">
        <f t="shared" si="14"/>
        <v>30</v>
      </c>
      <c r="H499">
        <f t="shared" ca="1" si="15"/>
        <v>0</v>
      </c>
      <c r="I499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500" spans="1:9" x14ac:dyDescent="0.35">
      <c r="A500" t="s">
        <v>506</v>
      </c>
      <c r="B500" t="s">
        <v>2</v>
      </c>
      <c r="C500" s="4">
        <v>45369</v>
      </c>
      <c r="D500" s="4">
        <v>45399</v>
      </c>
      <c r="E500" s="1">
        <v>33125.599999999999</v>
      </c>
      <c r="F500" t="s">
        <v>3</v>
      </c>
      <c r="G500">
        <f t="shared" si="14"/>
        <v>30</v>
      </c>
      <c r="H500">
        <f t="shared" ca="1" si="15"/>
        <v>0</v>
      </c>
      <c r="I500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  <row r="501" spans="1:9" x14ac:dyDescent="0.35">
      <c r="A501" t="s">
        <v>507</v>
      </c>
      <c r="B501" t="s">
        <v>9</v>
      </c>
      <c r="C501" s="4">
        <v>46192</v>
      </c>
      <c r="D501" s="4">
        <v>46222</v>
      </c>
      <c r="E501" s="1">
        <v>11374.74</v>
      </c>
      <c r="F501" t="s">
        <v>3</v>
      </c>
      <c r="G501">
        <f t="shared" si="14"/>
        <v>30</v>
      </c>
      <c r="H501">
        <f t="shared" ca="1" si="15"/>
        <v>0</v>
      </c>
      <c r="I501" s="14" t="str">
        <f>IF(Table1[[#This Row],[Status]]="Paid","Paid",IF(Table1[[#This Row],[Days Overdue]]&lt;=0, "Current", IF(Table1[[#This Row],[Days Overdue]]&lt;=30,"1-30 days",IF(Table1[[#This Row],[Days Overdue]]&lt;=60,"31-60 days",IF(Table1[[#This Row],[Days Overdue]]&lt;=90,"61-90 days","90+ days")))))</f>
        <v>Paid</v>
      </c>
    </row>
  </sheetData>
  <conditionalFormatting sqref="A2:I501">
    <cfRule type="expression" dxfId="1" priority="3">
      <formula>$H2 &lt; 0</formula>
    </cfRule>
    <cfRule type="expression" dxfId="0" priority="4">
      <formula>$H2&gt;0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Accounts Receivable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Seneiya Lesame</dc:creator>
  <cp:lastModifiedBy>Seneiya Lesame</cp:lastModifiedBy>
  <cp:lastPrinted>2026-09-22T14:52:05Z</cp:lastPrinted>
  <dcterms:created xsi:type="dcterms:W3CDTF">2026-08-31T13:12:55Z</dcterms:created>
  <dcterms:modified xsi:type="dcterms:W3CDTF">2026-09-23T13:33:55Z</dcterms:modified>
</cp:coreProperties>
</file>